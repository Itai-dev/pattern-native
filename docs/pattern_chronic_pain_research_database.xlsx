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f32a77f80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bf6f3cce7144ac7"/>
    <x:sheet xmlns:r="http://schemas.openxmlformats.org/officeDocument/2006/relationships" name="Scorecard" sheetId="2" r:id="Rfeb84a967a3b4227"/>
    <x:sheet xmlns:r="http://schemas.openxmlformats.org/officeDocument/2006/relationships" name="Measurement Methods" sheetId="3" r:id="R29543ccb94ae45f3"/>
    <x:sheet xmlns:r="http://schemas.openxmlformats.org/officeDocument/2006/relationships" name="Management Methods" sheetId="4" r:id="R790489ab1a9a4fba"/>
    <x:sheet xmlns:r="http://schemas.openxmlformats.org/officeDocument/2006/relationships" name="Products" sheetId="5" r:id="Rabcb0212f73a4ff2"/>
    <x:sheet xmlns:r="http://schemas.openxmlformats.org/officeDocument/2006/relationships" name="Journals" sheetId="6" r:id="R5f576dd6e9d7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"/>
    <x:numFmt numFmtId="202" formatCode="0"/>
    <x:numFmt numFmtId="203" formatCode="0.00"/>
    <x:numFmt numFmtId="204" formatCode="yyyy-mm-dd"/>
  </x:numFmts>
  <x:fonts count="20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667085"/>
      <x:name val="Aptos"/>
    </x:font>
    <x:font>
      <x:b/>
      <x:sz val="10"/>
      <x:color rgb="FFFFFFFF"/>
      <x:name val="Aptos"/>
    </x:font>
    <x:font>
      <x:b/>
      <x:sz val="11"/>
      <x:color rgb="FF17212B"/>
      <x:name val="Carlito"/>
    </x:font>
    <x:font>
      <x:b/>
      <x:sz val="9"/>
      <x:color rgb="FF17212B"/>
      <x:name val="Aptos"/>
    </x:font>
    <x:font>
      <x:sz val="9"/>
      <x:color rgb="FF17212B"/>
      <x:name val="Aptos"/>
    </x:font>
    <x:font>
      <x:b/>
      <x:sz val="12"/>
      <x:color rgb="FFFFFFFF"/>
      <x:name val="Carlito"/>
    </x:font>
    <x:font>
      <x:b/>
      <x:sz val="11"/>
      <x:color rgb="FF2F6BFF"/>
      <x:name val="Carlito"/>
    </x:font>
    <x:font>
      <x:i/>
      <x:sz val="11"/>
      <x:color rgb="FF8F3E3A"/>
      <x:name val="Carlito"/>
    </x:font>
    <x:font>
      <x:b/>
      <x:sz val="24"/>
      <x:color rgb="FFFFFFFF"/>
      <x:name val="Aptos Display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4"/>
      <x:color rgb="FF2F6BFF"/>
      <x:name val="Carlito"/>
    </x:font>
    <x:font>
      <x:sz val="12"/>
      <x:color rgb="FF17212B"/>
      <x:name val="Carlito"/>
    </x:font>
    <x:font>
      <x:b/>
      <x:sz val="13"/>
      <x:color rgb="FFFFFFFF"/>
      <x:name val="Carlito"/>
    </x:font>
    <x:font>
      <x:b/>
      <x:sz val="9"/>
      <x:color rgb="FF2F6BFF"/>
      <x:name val="Aptos"/>
    </x:font>
    <x:font>
      <x:b/>
      <x:sz val="11"/>
      <x:color rgb="FF2E7D66"/>
      <x:name val="Carlito"/>
    </x:font>
    <x:font>
      <x:sz val="11"/>
      <x:color rgb="FF8F3E3A"/>
      <x:name val="Carlito"/>
    </x:font>
    <x:font>
      <x:i/>
      <x:sz val="11"/>
      <x:color rgb="FF6D57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7F4EF"/>
      </x:patternFill>
    </x:fill>
    <x:fill>
      <x:patternFill patternType="solid">
        <x:fgColor rgb="FFFFF3C4"/>
      </x:patternFill>
    </x:fill>
    <x:fill>
      <x:patternFill patternType="solid">
        <x:fgColor rgb="FFEEF1F4"/>
      </x:patternFill>
    </x:fill>
    <x:fill>
      <x:patternFill patternType="solid">
        <x:fgColor rgb="FFEF6A67"/>
      </x:patternFill>
    </x:fill>
    <x:fill>
      <x:patternFill patternType="solid">
        <x:fgColor rgb="FFEAF1FF"/>
      </x:patternFill>
    </x:fill>
    <x:fill>
      <x:patternFill patternType="solid">
        <x:fgColor rgb="FFFDE8E7"/>
      </x:patternFill>
    </x:fill>
    <x:fill>
      <x:patternFill patternType="solid">
        <x:fgColor rgb="FF2F6BFF"/>
      </x:patternFill>
    </x:fill>
    <x:fill>
      <x:patternFill patternType="solid">
        <x:fgColor rgb="FF2E7D66"/>
      </x:patternFill>
    </x:fill>
    <x:fill>
      <x:patternFill patternType="solid">
        <x:fgColor rgb="FFDDF4EA"/>
      </x:patternFill>
    </x:fill>
  </x:fills>
  <x:borders count="8">
    <x:border/>
    <x:border>
      <x:right style="thin">
        <x:color rgb="FF35516B"/>
      </x:right>
    </x:border>
    <x:border>
      <x:left style="thin">
        <x:color rgb="FF35516B"/>
      </x:left>
    </x:border>
    <x:border>
      <x:bottom style="double">
        <x:color rgb="FF16324F"/>
      </x:bottom>
    </x:border>
    <x:border>
      <x:left style="thin">
        <x:color rgb="FF35516B"/>
      </x:left>
      <x:right style="thin">
        <x:color rgb="FF35516B"/>
      </x:right>
    </x:border>
    <x:border>
      <x:bottom style="thin">
        <x:color rgb="FFD7DCE2"/>
      </x:bottom>
    </x:border>
    <x:border>
      <x:top style="thin">
        <x:color rgb="FFD7DCE2"/>
      </x:top>
      <x:bottom style="thin">
        <x:color rgb="FFD7DCE2"/>
      </x:bottom>
    </x:border>
    <x:border>
      <x:bottom style="thin">
        <x:color rgb="FFEAB8B5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3" xfId="0" applyNumberFormat="1" applyFont="1" applyFill="1" applyBorder="1"/>
    <x:xf numFmtId="200" fontId="4" fillId="5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/>
    <x:xf numFmtId="0" fontId="5" fillId="0" borderId="0" xfId="0" applyNumberFormat="1" applyFont="1" applyFill="1" applyBorder="1"/>
    <x:xf numFmtId="200" fontId="5" fillId="4" borderId="0" xfId="0" applyNumberFormat="1" applyFont="1" applyFill="1" applyBorder="1"/>
    <x:xf numFmtId="0" fontId="6" fillId="0" borderId="0" xfId="0" applyNumberFormat="1" applyFont="1" applyFill="1" applyBorder="1"/>
    <x:xf numFmtId="201" fontId="5" fillId="4" borderId="0" xfId="0" applyNumberFormat="1" applyFont="1" applyFill="1" applyBorder="1"/>
    <x:xf numFmtId="0" fontId="5" fillId="5" borderId="3" xfId="0" applyNumberFormat="1" applyFont="1" applyFill="1" applyBorder="1"/>
    <x:xf numFmtId="200" fontId="5" fillId="5" borderId="3" xfId="0" applyNumberFormat="1" applyFont="1" applyFill="1" applyBorder="1"/>
    <x:xf numFmtId="0" fontId="5" fillId="0" borderId="5" xfId="0" applyNumberFormat="1" applyFont="1" applyFill="1" applyBorder="1"/>
    <x:xf numFmtId="200" fontId="5" fillId="4" borderId="5" xfId="0" applyNumberFormat="1" applyFont="1" applyFill="1" applyBorder="1"/>
    <x:xf numFmtId="0" fontId="6" fillId="0" borderId="5" xfId="0" applyNumberFormat="1" applyFont="1" applyFill="1" applyBorder="1"/>
    <x:xf numFmtId="201" fontId="5" fillId="4" borderId="5" xfId="0" applyNumberFormat="1" applyFont="1" applyFill="1" applyBorder="1"/>
    <x:xf numFmtId="0" fontId="5" fillId="0" borderId="6" xfId="0" applyNumberFormat="1" applyFont="1" applyFill="1" applyBorder="1"/>
    <x:xf numFmtId="200" fontId="5" fillId="4" borderId="6" xfId="0" applyNumberFormat="1" applyFont="1" applyFill="1" applyBorder="1"/>
    <x:xf numFmtId="0" fontId="6" fillId="0" borderId="6" xfId="0" applyNumberFormat="1" applyFont="1" applyFill="1" applyBorder="1"/>
    <x:xf numFmtId="201" fontId="5" fillId="4" borderId="6" xfId="0" applyNumberFormat="1" applyFont="1" applyFill="1" applyBorder="1"/>
    <x:xf numFmtId="0" fontId="5" fillId="5" borderId="6" xfId="0" applyNumberFormat="1" applyFont="1" applyFill="1" applyBorder="1"/>
    <x:xf numFmtId="200" fontId="5" fillId="5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200" fontId="5" fillId="4" borderId="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201" fontId="5" fillId="4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200" fontId="5" fillId="4" borderId="6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201" fontId="5" fillId="4" borderId="6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200" fontId="5" fillId="5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200" fontId="5" fillId="4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1" fontId="5" fillId="4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201" fontId="5" fillId="4" borderId="6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200" fontId="5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0" fillId="3" borderId="5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202" fontId="6" fillId="4" borderId="5" xfId="0" applyNumberFormat="1" applyFont="1" applyFill="1" applyBorder="1" applyAlignment="1">
      <x:alignment vertical="top" wrapText="1"/>
    </x:xf>
    <x:xf numFmtId="202" fontId="6" fillId="4" borderId="6" xfId="0" applyNumberFormat="1" applyFont="1" applyFill="1" applyBorder="1" applyAlignment="1">
      <x:alignment vertical="top" wrapText="1"/>
    </x:xf>
    <x:xf numFmtId="202" fontId="6" fillId="4" borderId="5" xfId="0" applyNumberFormat="1" applyFont="1" applyFill="1" applyBorder="1" applyAlignment="1">
      <x:alignment horizontal="center" vertical="top" wrapText="1"/>
    </x:xf>
    <x:xf numFmtId="202" fontId="6" fillId="4" borderId="6" xfId="0" applyNumberFormat="1" applyFont="1" applyFill="1" applyBorder="1" applyAlignment="1">
      <x:alignment horizontal="center"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3" fontId="6" fillId="0" borderId="6" xfId="0" applyNumberFormat="1" applyFont="1" applyFill="1" applyBorder="1" applyAlignment="1">
      <x:alignment vertical="top" wrapText="1"/>
    </x:xf>
    <x:xf numFmtId="204" fontId="6" fillId="0" borderId="5" xfId="0" applyNumberFormat="1" applyFont="1" applyFill="1" applyBorder="1" applyAlignment="1">
      <x:alignment vertical="top" wrapText="1"/>
    </x:xf>
    <x:xf numFmtId="204" fontId="6" fillId="0" borderId="6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2" fontId="5" fillId="4" borderId="5" xfId="0" applyNumberFormat="1" applyFont="1" applyFill="1" applyBorder="1" applyAlignment="1">
      <x:alignment vertical="top" wrapText="1"/>
    </x:xf>
    <x:xf numFmtId="202" fontId="5" fillId="4" borderId="6" xfId="0" applyNumberFormat="1" applyFont="1" applyFill="1" applyBorder="1" applyAlignment="1">
      <x:alignment vertical="top" wrapText="1"/>
    </x:xf>
    <x:xf numFmtId="202" fontId="5" fillId="4" borderId="5" xfId="0" applyNumberFormat="1" applyFont="1" applyFill="1" applyBorder="1" applyAlignment="1">
      <x:alignment horizontal="center" vertical="top" wrapText="1"/>
    </x:xf>
    <x:xf numFmtId="202" fontId="5" fillId="4" borderId="6" xfId="0" applyNumberFormat="1" applyFont="1" applyFill="1" applyBorder="1" applyAlignment="1">
      <x:alignment horizontal="center"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/>
    <x:xf numFmtId="0" fontId="12" fillId="3" borderId="5" xfId="0" applyNumberFormat="1" applyFont="1" applyFill="1" applyBorder="1"/>
    <x:xf numFmtId="0" fontId="12" fillId="7" borderId="0" xfId="0" applyNumberFormat="1" applyFont="1" applyFill="1" applyBorder="1"/>
    <x:xf numFmtId="0" fontId="12" fillId="7" borderId="5" xfId="0" applyNumberFormat="1" applyFont="1" applyFill="1" applyBorder="1"/>
    <x:xf numFmtId="0" fontId="13" fillId="7" borderId="0" xfId="0" applyNumberFormat="1" applyFont="1" applyFill="1" applyBorder="1"/>
    <x:xf numFmtId="0" fontId="13" fillId="7" borderId="5" xfId="0" applyNumberFormat="1" applyFont="1" applyFill="1" applyBorder="1"/>
    <x:xf numFmtId="202" fontId="13" fillId="7" borderId="0" xfId="0" applyNumberFormat="1" applyFont="1" applyFill="1" applyBorder="1"/>
    <x:xf numFmtId="202" fontId="13" fillId="7" borderId="5" xfId="0" applyNumberFormat="1" applyFont="1" applyFill="1" applyBorder="1"/>
    <x:xf numFmtId="202" fontId="13" fillId="7" borderId="0" xfId="0" applyNumberFormat="1" applyFont="1" applyFill="1" applyBorder="1" applyAlignment="1">
      <x:alignment horizontal="center"/>
    </x:xf>
    <x:xf numFmtId="202" fontId="13" fillId="7" borderId="5" xfId="0" applyNumberFormat="1" applyFont="1" applyFill="1" applyBorder="1" applyAlignment="1">
      <x:alignment horizontal="center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/>
    <x:xf numFmtId="0" fontId="6" fillId="7" borderId="5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16" fillId="7" borderId="5" xfId="0" applyNumberFormat="1" applyFont="1" applyFill="1" applyBorder="1" applyAlignment="1">
      <x:alignment vertical="top" wrapText="1"/>
    </x:xf>
    <x:xf numFmtId="0" fontId="16" fillId="7" borderId="6" xfId="0" applyNumberFormat="1" applyFont="1" applyFill="1" applyBorder="1" applyAlignment="1">
      <x:alignment vertical="top" wrapText="1"/>
    </x:xf>
    <x:xf numFmtId="0" fontId="16" fillId="7" borderId="5" xfId="0" applyNumberFormat="1" applyFont="1" applyFill="1" applyBorder="1" applyAlignment="1">
      <x:alignment horizontal="center" vertical="top" wrapText="1"/>
    </x:xf>
    <x:xf numFmtId="0" fontId="16" fillId="7" borderId="6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8" fillId="8" borderId="0" xfId="0" applyNumberFormat="1" applyFont="1" applyFill="1" applyBorder="1"/>
    <x:xf numFmtId="0" fontId="18" fillId="8" borderId="7" xfId="0" applyNumberFormat="1" applyFont="1" applyFill="1" applyBorder="1"/>
    <x:xf numFmtId="0" fontId="18" fillId="8" borderId="0" xfId="0" applyNumberFormat="1" applyFont="1" applyFill="1" applyBorder="1" applyAlignment="1">
      <x:alignment wrapText="1"/>
    </x:xf>
    <x:xf numFmtId="0" fontId="18" fillId="8" borderId="7" xfId="0" applyNumberFormat="1" applyFont="1" applyFill="1" applyBorder="1" applyAlignment="1">
      <x:alignment wrapText="1"/>
    </x:xf>
    <x:xf numFmtId="0" fontId="19" fillId="4" borderId="0" xfId="0" applyNumberFormat="1" applyFont="1" applyFill="1" applyBorder="1"/>
    <x:xf numFmtId="0" fontId="19" fillId="4" borderId="0" xfId="0" applyNumberFormat="1" applyFont="1" applyFill="1" applyBorder="1" applyAlignment="1">
      <x:alignment wrapText="1"/>
    </x:xf>
    <x:xf numFmtId="0" fontId="19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b/>
        <x:color rgb="FF2E7D66"/>
      </x:font>
      <x:fill>
        <x:patternFill patternType="solid">
          <x:bgColor rgb="FFDDF4EA"/>
        </x:patternFill>
      </x:fill>
    </x:dxf>
    <x:dxf>
      <x:font>
        <x:b/>
        <x:color rgb="FF2F6BFF"/>
      </x:font>
      <x:fill>
        <x:patternFill patternType="solid">
          <x:bgColor rgb="FFEAF1FF"/>
        </x:patternFill>
      </x:fill>
    </x:dxf>
    <x:dxf>
      <x:font>
        <x:b/>
        <x:color rgb="FFA33C38"/>
      </x:font>
      <x:fill>
        <x:patternFill patternType="solid">
          <x:bgColor rgb="FFFDE8E7"/>
        </x:patternFill>
      </x:fill>
    </x:dxf>
    <x:dxf>
      <x:font>
        <x:b/>
        <x:color rgb="FF7A5B00"/>
      </x:font>
      <x:fill>
        <x:patternFill patternType="solid">
          <x:bgColor rgb="FFFFF3C4"/>
        </x:patternFill>
      </x:fill>
    </x:dxf>
    <x:dxf>
      <x:font>
        <x:color rgb="FF667085"/>
      </x:font>
      <x:fill>
        <x:patternFill patternType="solid">
          <x:bgColor rgb="FFEEF1F4"/>
        </x:patternFill>
      </x:fill>
    </x:dxf>
    <x:dxf>
      <x:font>
        <x:b/>
        <x:color rgb="FF2E7D66"/>
      </x:font>
      <x:fill>
        <x:patternFill patternType="solid">
          <x:bgColor rgb="FFDDF4EA"/>
        </x:patternFill>
      </x:fill>
    </x:dxf>
    <x:dxf>
      <x:font>
        <x:b/>
        <x:color rgb="FF2F6BFF"/>
      </x:font>
      <x:fill>
        <x:patternFill patternType="solid">
          <x:bgColor rgb="FFEAF1FF"/>
        </x:patternFill>
      </x:fill>
    </x:dxf>
    <x:dxf>
      <x:font>
        <x:b/>
        <x:color rgb="FFA33C38"/>
      </x:font>
      <x:fill>
        <x:patternFill patternType="solid">
          <x:bgColor rgb="FFFDE8E7"/>
        </x:patternFill>
      </x:fill>
    </x:dxf>
    <x:dxf>
      <x:font>
        <x:b/>
        <x:color rgb="FF7A5B00"/>
      </x:font>
      <x:fill>
        <x:patternFill patternType="solid">
          <x:bgColor rgb="FFFFF3C4"/>
        </x:patternFill>
      </x:fill>
    </x:dxf>
    <x:dxf>
      <x:font>
        <x:color rgb="FF667085"/>
      </x:font>
      <x:fill>
        <x:patternFill patternType="solid">
          <x:bgColor rgb="FFEEF1F4"/>
        </x:patternFill>
      </x:fill>
    </x:dxf>
    <x:dxf>
      <x:font>
        <x:b/>
        <x:color rgb="FF2E7D66"/>
      </x:font>
      <x:fill>
        <x:patternFill patternType="solid">
          <x:bgColor rgb="FFDDF4EA"/>
        </x:patternFill>
      </x:fill>
    </x:dxf>
    <x:dxf>
      <x:font>
        <x:b/>
        <x:color rgb="FF2F6BFF"/>
      </x:font>
      <x:fill>
        <x:patternFill patternType="solid">
          <x:bgColor rgb="FFEAF1FF"/>
        </x:patternFill>
      </x:fill>
    </x:dxf>
    <x:dxf>
      <x:font>
        <x:b/>
        <x:color rgb="FFA33C38"/>
      </x:font>
      <x:fill>
        <x:patternFill patternType="solid">
          <x:bgColor rgb="FFFDE8E7"/>
        </x:patternFill>
      </x:fill>
    </x:dxf>
    <x:dxf>
      <x:font>
        <x:b/>
        <x:color rgb="FF7A5B00"/>
      </x:font>
      <x:fill>
        <x:patternFill patternType="solid">
          <x:bgColor rgb="FFFFF3C4"/>
        </x:patternFill>
      </x:fill>
    </x:dxf>
    <x:dxf>
      <x:font>
        <x:color rgb="FF667085"/>
      </x:font>
      <x:fill>
        <x:patternFill patternType="solid"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757bd4f9d4c61" /><Relationship Type="http://schemas.openxmlformats.org/officeDocument/2006/relationships/theme" Target="/xl/theme/theme1.xml" Id="R3cea305c35074f90" /><Relationship Type="http://schemas.openxmlformats.org/officeDocument/2006/relationships/sharedStrings" Target="/xl/sharedStrings.xml" Id="Re7f684742e2f496f" /><Relationship Type="http://schemas.openxmlformats.org/officeDocument/2006/relationships/worksheet" Target="/xl/worksheets/sheet1.xml" Id="R2bf6f3cce7144ac7" /><Relationship Type="http://schemas.openxmlformats.org/officeDocument/2006/relationships/worksheet" Target="/xl/worksheets/sheet2.xml" Id="Rfeb84a967a3b4227" /><Relationship Type="http://schemas.openxmlformats.org/officeDocument/2006/relationships/worksheet" Target="/xl/worksheets/sheet3.xml" Id="R29543ccb94ae45f3" /><Relationship Type="http://schemas.openxmlformats.org/officeDocument/2006/relationships/worksheet" Target="/xl/worksheets/sheet4.xml" Id="R790489ab1a9a4fba" /><Relationship Type="http://schemas.openxmlformats.org/officeDocument/2006/relationships/worksheet" Target="/xl/worksheets/sheet5.xml" Id="Rabcb0212f73a4ff2" /><Relationship Type="http://schemas.openxmlformats.org/officeDocument/2006/relationships/worksheet" Target="/xl/worksheets/sheet6.xml" Id="R5f576dd6e9d74892" /></Relationships>
</file>

<file path=xl/tables/table1.xml><?xml version="1.0" encoding="utf-8"?>
<x:table xmlns:x="http://schemas.openxmlformats.org/spreadsheetml/2006/main" id="1" name="MeasurementMethodsTable" displayName="MeasurementMethodsTable" ref="A4:S18" headerRowCount="1" totalsRowCount="0" totalsRowShown="0">
  <x:tableColumns count="19">
    <x:tableColumn id="1" name="ID"/>
    <x:tableColumn id="2" name="Method"/>
    <x:tableColumn id="3" name="Category"/>
    <x:tableColumn id="4" name="What it captures"/>
    <x:tableColumn id="5" name="Exact protocol / cadence"/>
    <x:tableColumn id="6" name="Evidence basis"/>
    <x:tableColumn id="7" name="Grade"/>
    <x:tableColumn id="8" name="Evidence"/>
    <x:tableColumn id="9" name="MVP value"/>
    <x:tableColumn id="10" name="Low burden"/>
    <x:tableColumn id="11" name="Feasibility"/>
    <x:tableColumn id="12" name="Safety"/>
    <x:tableColumn id="13" name="Weighted score"/>
    <x:tableColumn id="14" name="Decision"/>
    <x:tableColumn id="15" name="Rights status"/>
    <x:tableColumn id="16" name="Potential Pattern feature"/>
    <x:tableColumn id="17" name="Key limitation / guardrail"/>
    <x:tableColumn id="18" name="Source URL"/>
    <x:tableColumn id="19" name="Last 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agementMethodsTable" displayName="ManagementMethodsTable" ref="A4:Q19" headerRowCount="1" totalsRowCount="0" totalsRowShown="0">
  <x:tableColumns count="17">
    <x:tableColumn id="1" name="ID"/>
    <x:tableColumn id="2" name="Method"/>
    <x:tableColumn id="3" name="Category"/>
    <x:tableColumn id="4" name="Exact protocol / cadence"/>
    <x:tableColumn id="5" name="Evidence basis"/>
    <x:tableColumn id="6" name="Grade"/>
    <x:tableColumn id="7" name="Evidence"/>
    <x:tableColumn id="8" name="MVP value"/>
    <x:tableColumn id="9" name="Low burden"/>
    <x:tableColumn id="10" name="Feasibility"/>
    <x:tableColumn id="11" name="Safety"/>
    <x:tableColumn id="12" name="Weighted score"/>
    <x:tableColumn id="13" name="Decision"/>
    <x:tableColumn id="14" name="Potential Pattern feature"/>
    <x:tableColumn id="15" name="Key limitation / guardrail"/>
    <x:tableColumn id="16" name="Source URL"/>
    <x:tableColumn id="17" name="Last 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4:O12" headerRowCount="1" totalsRowCount="0" totalsRowShown="0">
  <x:tableColumns count="15">
    <x:tableColumn id="1" name="Product"/>
    <x:tableColumn id="2" name="Positioning"/>
    <x:tableColumn id="3" name="Low-friction tracking"/>
    <x:tableColumn id="4" name="Personalization"/>
    <x:tableColumn id="5" name="Insight rigor"/>
    <x:tableColumn id="6" name="Intervention depth"/>
    <x:tableColumn id="7" name="Clinician sharing"/>
    <x:tableColumn id="8" name="Wearables"/>
    <x:tableColumn id="9" name="Business model"/>
    <x:tableColumn id="10" name="Benchmark score"/>
    <x:tableColumn id="11" name="Key strength"/>
    <x:tableColumn id="12" name="Key weakness"/>
    <x:tableColumn id="13" name="Pattern lesson"/>
    <x:tableColumn id="14" name="Source URL"/>
    <x:tableColumn id="15" name="Last check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urnalsTable" displayName="JournalsTable" ref="A4:I15" headerRowCount="1" totalsRowCount="0" totalsRowShown="0">
  <x:tableColumns count="9">
    <x:tableColumn id="1" name="Journal"/>
    <x:tableColumn id="2" name="Publisher / society"/>
    <x:tableColumn id="3" name="Scope"/>
    <x:tableColumn id="4" name="Why Pattern should follow"/>
    <x:tableColumn id="5" name="Access"/>
    <x:tableColumn id="6" name="Suggested cadence"/>
    <x:tableColumn id="7" name="Priority"/>
    <x:tableColumn id="8" name="Journal URL"/>
    <x:tableColumn id="9" name="Last 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fe7f08e960748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5727f62ca6b41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27630d2cf3c46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3461aca51c242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4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</x:cols>
  <x:sheetData>
    <x:row r="1">
      <x:c r="A1" s="99" t="str">
        <x:v>Pattern | Chronic pain research database</x:v>
      </x:c>
      <x:c r="B1" s="99"/>
      <x:c r="C1" s="99"/>
      <x:c r="D1" s="99"/>
      <x:c r="E1" s="99"/>
      <x:c r="F1" s="99"/>
      <x:c r="G1" s="99"/>
      <x:c r="H1" s="99"/>
    </x:row>
    <x:row r="2">
      <x:c r="A2" s="99"/>
      <x:c r="B2" s="99"/>
      <x:c r="C2" s="99"/>
      <x:c r="D2" s="99"/>
      <x:c r="E2" s="99"/>
      <x:c r="F2" s="99"/>
      <x:c r="G2" s="99"/>
      <x:c r="H2" s="99"/>
    </x:row>
    <x:row r="3">
      <x:c r="A3" s="102" t="str">
        <x:v>Evidence-led product planning • updated 20 August 2026</x:v>
      </x:c>
      <x:c r="B3" s="102"/>
      <x:c r="C3" s="102"/>
      <x:c r="D3" s="102"/>
      <x:c r="E3" s="102"/>
      <x:c r="F3" s="102"/>
      <x:c r="G3" s="102"/>
      <x:c r="H3" s="102"/>
    </x:row>
    <x:row r="5" ht="34" customHeight="1">
      <x:c r="A5" s="13" t="str">
        <x:v>Research coverage</x:v>
      </x:c>
      <x:c r="B5" s="14" t="str">
        <x:v>Count</x:v>
      </x:c>
      <x:c r="D5" s="67" t="str">
        <x:v>Product thesis</x:v>
      </x:c>
      <x:c r="E5" s="67"/>
      <x:c r="F5" s="67"/>
      <x:c r="G5" s="67"/>
      <x:c r="H5" s="67"/>
    </x:row>
    <x:row r="6">
      <x:c r="A6" s="103" t="str">
        <x:v>Measurement methods</x:v>
      </x:c>
      <x:c r="B6" s="111" t="n">
        <x:f>COUNTA('Measurement Methods'!B5:B50)</x:f>
        <x:v>14</x:v>
      </x:c>
      <x:c r="D6" s="115" t="str">
        <x:v>Pattern should not be another exhaustive symptom tracker. The defensible wedge is a very short journal that measures pain plus function, converts observations into cautious behavioral experiments, and guides the user toward meaningful activity without pretending correlations are causes.</x:v>
      </x:c>
      <x:c r="E6" s="115"/>
      <x:c r="F6" s="115"/>
      <x:c r="G6" s="115"/>
      <x:c r="H6" s="115"/>
    </x:row>
    <x:row r="7">
      <x:c r="A7" s="103" t="str">
        <x:v>Management methods</x:v>
      </x:c>
      <x:c r="B7" s="111" t="n">
        <x:f>COUNTA('Management Methods'!B5:B50)</x:f>
        <x:v>15</x:v>
      </x:c>
      <x:c r="D7" s="115"/>
      <x:c r="E7" s="115"/>
      <x:c r="F7" s="115"/>
      <x:c r="G7" s="115"/>
      <x:c r="H7" s="115"/>
    </x:row>
    <x:row r="8">
      <x:c r="A8" s="103" t="str">
        <x:v>Products</x:v>
      </x:c>
      <x:c r="B8" s="111" t="n">
        <x:f>COUNTA('Products'!A5:A50)</x:f>
        <x:v>8</x:v>
      </x:c>
      <x:c r="D8" s="115"/>
      <x:c r="E8" s="115"/>
      <x:c r="F8" s="115"/>
      <x:c r="G8" s="115"/>
      <x:c r="H8" s="115"/>
    </x:row>
    <x:row r="9">
      <x:c r="A9" s="103" t="str">
        <x:v>Journals</x:v>
      </x:c>
      <x:c r="B9" s="111" t="n">
        <x:f>COUNTA('Journals'!A5:A50)</x:f>
        <x:v>11</x:v>
      </x:c>
      <x:c r="D9" s="115"/>
      <x:c r="E9" s="115"/>
      <x:c r="F9" s="115"/>
      <x:c r="G9" s="115"/>
      <x:c r="H9" s="115"/>
    </x:row>
    <x:row r="10">
      <x:c r="A10" s="104" t="str">
        <x:v>Build-now candidates</x:v>
      </x:c>
      <x:c r="B10" s="112" t="n">
        <x:f>COUNTIF('Measurement Methods'!N5:N50,"Build now")+COUNTIF('Management Methods'!M5:M50,"Build now")</x:f>
        <x:v>11</x:v>
      </x:c>
      <x:c r="D10" s="115"/>
      <x:c r="E10" s="115"/>
      <x:c r="F10" s="115"/>
      <x:c r="G10" s="115"/>
      <x:c r="H10" s="115"/>
    </x:row>
    <x:row r="13">
      <x:c r="A13" s="116" t="str">
        <x:v>Recommended first-release components</x:v>
      </x:c>
      <x:c r="B13" s="116"/>
      <x:c r="C13" s="116"/>
      <x:c r="D13" s="116"/>
      <x:c r="E13" s="116"/>
      <x:c r="F13" s="116"/>
      <x:c r="G13" s="116"/>
      <x:c r="H13" s="116"/>
    </x:row>
    <x:row r="14" ht="34" customHeight="1">
      <x:c r="A14" s="13" t="str">
        <x:v>Priority</x:v>
      </x:c>
      <x:c r="B14" s="28" t="str">
        <x:v>Component</x:v>
      </x:c>
      <x:c r="C14" s="28" t="str">
        <x:v>Source table</x:v>
      </x:c>
      <x:c r="D14" s="28" t="str">
        <x:v>Score</x:v>
      </x:c>
      <x:c r="E14" s="28" t="str">
        <x:v>Current decision</x:v>
      </x:c>
      <x:c r="F14" s="14" t="str">
        <x:v>Why it belongs</x:v>
      </x:c>
    </x:row>
    <x:row r="15" ht="38" customHeight="1">
      <x:c r="A15" s="121" t="n">
        <x:v>1</x:v>
      </x:c>
      <x:c r="B15" s="58" t="str">
        <x:v>Personally meaningful activity rating</x:v>
      </x:c>
      <x:c r="C15" s="58" t="str">
        <x:v>Measurement</x:v>
      </x:c>
      <x:c r="D15" s="86" t="n">
        <x:f>'Measurement Methods'!M5</x:f>
        <x:v>4.7</x:v>
      </x:c>
      <x:c r="E15" s="58" t="str">
        <x:f>'Measurement Methods'!N5</x:f>
        <x:v>Build now</x:v>
      </x:c>
      <x:c r="F15" s="58" t="str">
        <x:v>Function is the most meaningful progress signal and prevents pain-score fixation</x:v>
      </x:c>
    </x:row>
    <x:row r="16" ht="38" customHeight="1">
      <x:c r="A16" s="122" t="n">
        <x:v>2</x:v>
      </x:c>
      <x:c r="B16" s="62" t="str">
        <x:v>Event-based flare or treatment log</x:v>
      </x:c>
      <x:c r="C16" s="62" t="str">
        <x:v>Measurement</x:v>
      </x:c>
      <x:c r="D16" s="87" t="n">
        <x:f>'Measurement Methods'!M7</x:f>
        <x:v>4.4</x:v>
      </x:c>
      <x:c r="E16" s="62" t="str">
        <x:f>'Measurement Methods'!N7</x:f>
        <x:v>Build now</x:v>
      </x:c>
      <x:c r="F16" s="62" t="str">
        <x:v>Captures high-value changes without forcing a long daily form</x:v>
      </x:c>
    </x:row>
    <x:row r="17" ht="38" customHeight="1">
      <x:c r="A17" s="122" t="n">
        <x:v>3</x:v>
      </x:c>
      <x:c r="B17" s="62" t="str">
        <x:v>Ecological Momentary Assessment micro-check-in</x:v>
      </x:c>
      <x:c r="C17" s="62" t="str">
        <x:v>Measurement</x:v>
      </x:c>
      <x:c r="D17" s="87" t="n">
        <x:f>'Measurement Methods'!M11</x:f>
        <x:v>4.25</x:v>
      </x:c>
      <x:c r="E17" s="62" t="str">
        <x:f>'Measurement Methods'!N11</x:f>
        <x:v>Build now</x:v>
      </x:c>
      <x:c r="F17" s="62" t="str">
        <x:v>Reduces recall distortion while staying lightweight and adaptable</x:v>
      </x:c>
    </x:row>
    <x:row r="18" ht="38" customHeight="1">
      <x:c r="A18" s="122" t="n">
        <x:v>4</x:v>
      </x:c>
      <x:c r="B18" s="62" t="str">
        <x:v>Personalized flare plan</x:v>
      </x:c>
      <x:c r="C18" s="62" t="str">
        <x:v>Management</x:v>
      </x:c>
      <x:c r="D18" s="87" t="n">
        <x:f>'Management Methods'!L6</x:f>
        <x:v>4.4</x:v>
      </x:c>
      <x:c r="E18" s="62" t="str">
        <x:f>'Management Methods'!M6</x:f>
        <x:v>Build now</x:v>
      </x:c>
      <x:c r="F18" s="62" t="str">
        <x:v>Turns tracking into a useful response when the user actually needs help</x:v>
      </x:c>
    </x:row>
    <x:row r="19" ht="38" customHeight="1">
      <x:c r="A19" s="122" t="n">
        <x:v>5</x:v>
      </x:c>
      <x:c r="B19" s="62" t="str">
        <x:v>Values-based goal setting and function restoration</x:v>
      </x:c>
      <x:c r="C19" s="62" t="str">
        <x:v>Management</x:v>
      </x:c>
      <x:c r="D19" s="87" t="n">
        <x:f>'Management Methods'!L5</x:f>
        <x:v>4.7</x:v>
      </x:c>
      <x:c r="E19" s="62" t="str">
        <x:f>'Management Methods'!M5</x:f>
        <x:v>Build now</x:v>
      </x:c>
      <x:c r="F19" s="62" t="str">
        <x:v>Creates a clear direction for personalized recommendations</x:v>
      </x:c>
    </x:row>
    <x:row r="20" ht="38" customHeight="1">
      <x:c r="A20" s="122" t="n">
        <x:v>6</x:v>
      </x:c>
      <x:c r="B20" s="62" t="str">
        <x:v>Acceptance and Commitment Therapy (ACT)</x:v>
      </x:c>
      <x:c r="C20" s="62" t="str">
        <x:v>Management</x:v>
      </x:c>
      <x:c r="D20" s="87" t="n">
        <x:f>'Management Methods'!L7</x:f>
        <x:v>4.45</x:v>
      </x:c>
      <x:c r="E20" s="62" t="str">
        <x:f>'Management Methods'!M7</x:f>
        <x:v>Build now</x:v>
      </x:c>
      <x:c r="F20" s="62" t="str">
        <x:v>Strongest digital-treatment signal in the current evidence set</x:v>
      </x:c>
    </x:row>
    <x:row r="21" ht="38" customHeight="1">
      <x:c r="A21" s="122" t="n">
        <x:v>7</x:v>
      </x:c>
      <x:c r="B21" s="62" t="str">
        <x:v>Relaxation and paced breathing</x:v>
      </x:c>
      <x:c r="C21" s="62" t="str">
        <x:v>Management</x:v>
      </x:c>
      <x:c r="D21" s="87" t="n">
        <x:f>'Management Methods'!L8</x:f>
        <x:v>4.4</x:v>
      </x:c>
      <x:c r="E21" s="62" t="str">
        <x:f>'Management Methods'!M8</x:f>
        <x:v>Build now</x:v>
      </x:c>
      <x:c r="F21" s="62" t="str">
        <x:v>Low-friction tool for immediate regulation, with simple safety limits</x:v>
      </x:c>
    </x:row>
    <x:row r="22" ht="38" customHeight="1">
      <x:c r="A22" s="122" t="n">
        <x:v>8</x:v>
      </x:c>
      <x:c r="B22" s="62" t="str">
        <x:v>Graded physical activity or exercise</x:v>
      </x:c>
      <x:c r="C22" s="62" t="str">
        <x:v>Management</x:v>
      </x:c>
      <x:c r="D22" s="87" t="n">
        <x:f>'Management Methods'!L10</x:f>
        <x:v>4.3</x:v>
      </x:c>
      <x:c r="E22" s="62" t="str">
        <x:f>'Management Methods'!M10</x:f>
        <x:v>Build now</x:v>
      </x:c>
      <x:c r="F22" s="62" t="str">
        <x:v>Evidence-aligned path from insight to restored capacity</x:v>
      </x:c>
    </x:row>
    <x:row r="25">
      <x:c r="A25" s="124" t="str">
        <x:v>Build now</x:v>
      </x:c>
      <x:c r="B25" s="124"/>
      <x:c r="C25" s="124"/>
      <x:c r="D25" s="124"/>
      <x:c r="F25" s="67" t="str">
        <x:v>Do not build yet</x:v>
      </x:c>
      <x:c r="G25" s="67"/>
      <x:c r="H25" s="67"/>
    </x:row>
    <x:row r="26">
      <x:c r="A26" s="126" t="str">
        <x:v>Daily</x:v>
      </x:c>
      <x:c r="B26" s="72" t="str">
        <x:v>20-second adaptive check-in</x:v>
      </x:c>
      <x:c r="C26" s="72"/>
      <x:c r="D26" s="72"/>
      <x:c r="F26" s="129" t="str">
        <x:v>HRV-derived pain or readiness score</x:v>
      </x:c>
      <x:c r="G26" s="129"/>
      <x:c r="H26" s="129"/>
    </x:row>
    <x:row r="27">
      <x:c r="A27" s="126" t="str">
        <x:v>Weekly</x:v>
      </x:c>
      <x:c r="B27" s="72" t="str">
        <x:v>Function goal + reflection</x:v>
      </x:c>
      <x:c r="C27" s="72"/>
      <x:c r="D27" s="72"/>
      <x:c r="F27" s="129" t="str">
        <x:v>Automatic causal trigger labels</x:v>
      </x:c>
      <x:c r="G27" s="129"/>
      <x:c r="H27" s="129"/>
    </x:row>
    <x:row r="28">
      <x:c r="A28" s="126" t="str">
        <x:v>When needed</x:v>
      </x:c>
      <x:c r="B28" s="72" t="str">
        <x:v>Flare log and personalized flare plan</x:v>
      </x:c>
      <x:c r="C28" s="72"/>
      <x:c r="D28" s="72"/>
      <x:c r="F28" s="129" t="str">
        <x:v>Medication or dosage recommendations</x:v>
      </x:c>
      <x:c r="G28" s="129"/>
      <x:c r="H28" s="129"/>
    </x:row>
    <x:row r="29">
      <x:c r="A29" s="126" t="str">
        <x:v>Insights</x:v>
      </x:c>
      <x:c r="B29" s="72" t="str">
        <x:v>Association language with sample-size and uncertainty cues</x:v>
      </x:c>
      <x:c r="C29" s="72"/>
      <x:c r="D29" s="72"/>
      <x:c r="F29" s="129" t="str">
        <x:v>Full CBT-I without clinical governance</x:v>
      </x:c>
      <x:c r="G29" s="129"/>
      <x:c r="H29" s="129"/>
    </x:row>
    <x:row r="30">
      <x:c r="A30" s="126" t="str">
        <x:v>Sharing</x:v>
      </x:c>
      <x:c r="B30" s="73" t="str">
        <x:v>A clinician-ready report centered on function, change, and treatments</x:v>
      </x:c>
      <x:c r="C30" s="73"/>
      <x:c r="D30" s="73"/>
      <x:c r="F30" s="130" t="str">
        <x:v>Unlicensed PROMIS, BPI, or derivative instrument wording</x:v>
      </x:c>
      <x:c r="G30" s="130"/>
      <x:c r="H30" s="130"/>
    </x:row>
    <x:row r="33">
      <x:c r="A33" s="133" t="str">
        <x:v>Interpretation note: Weighted scores are prioritization aids, not effect sizes. A high score can still require licensing, clinician review, privacy work, localization, and product testing. Change the yellow cells in Scorecard to explore a different strategy.</x:v>
      </x:c>
      <x:c r="B33" s="133"/>
      <x:c r="C33" s="133"/>
      <x:c r="D33" s="133"/>
      <x:c r="E33" s="133"/>
      <x:c r="F33" s="133"/>
      <x:c r="G33" s="133"/>
      <x:c r="H33" s="133"/>
    </x:row>
    <x:row r="34">
      <x:c r="A34" s="133"/>
      <x:c r="B34" s="133"/>
      <x:c r="C34" s="133"/>
      <x:c r="D34" s="133"/>
      <x:c r="E34" s="133"/>
      <x:c r="F34" s="133"/>
      <x:c r="G34" s="133"/>
      <x:c r="H34" s="133"/>
    </x:row>
  </x:sheetData>
  <x:mergeCells>
    <x:mergeCell ref="A1:H2"/>
    <x:mergeCell ref="A3:H3"/>
    <x:mergeCell ref="D5:H5"/>
    <x:mergeCell ref="D6:H10"/>
    <x:mergeCell ref="A13:H13"/>
    <x:mergeCell ref="A25:D25"/>
    <x:mergeCell ref="B26:D26"/>
    <x:mergeCell ref="B27:D27"/>
    <x:mergeCell ref="B28:D28"/>
    <x:mergeCell ref="B29:D29"/>
    <x:mergeCell ref="B30:D30"/>
    <x:mergeCell ref="F25:H25"/>
    <x:mergeCell ref="F26:H26"/>
    <x:mergeCell ref="F27:H27"/>
    <x:mergeCell ref="F28:H28"/>
    <x:mergeCell ref="F29:H29"/>
    <x:mergeCell ref="F30:H30"/>
    <x:mergeCell ref="A33:H34"/>
  </x:mergeCells>
  <x:conditionalFormatting sqref="D15:D22">
    <x:cfRule type="dataBar" priority="1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15:E22">
    <x:cfRule type="containsText" dxfId="10" priority="2" operator="containsText" text="Build now"/>
    <x:cfRule type="containsText" dxfId="11" priority="3" operator="containsText" text="Research next"/>
    <x:cfRule type="containsText" dxfId="12" priority="4" operator="containsText" text="License first"/>
    <x:cfRule type="containsText" dxfId="13" priority="5" operator="containsText" text="Verify rights"/>
    <x:cfRule type="containsText" dxfId="14" priority="6" operator="containsText" text="Later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6BFF"/>
            </x14:dataBar>
          </x14:cfRule>
          <xm:sqref>D15:D22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48" hidden="0" customWidth="1"/>
    <x:col min="4" max="4" width="20" hidden="0" customWidth="1"/>
    <x:col min="5" max="5" width="12" hidden="0" customWidth="1"/>
    <x:col min="6" max="6" width="42" hidden="0" customWidth="1"/>
    <x:col min="7" max="7" width="28" hidden="0" customWidth="1"/>
    <x:col min="8" max="8" width="28" hidden="0" customWidth="1"/>
  </x:cols>
  <x:sheetData>
    <x:row r="1" ht="34" customHeight="1">
      <x:c r="A1" s="3" t="str">
        <x:v>Pattern research scorecard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Editable product lens. Higher scores are better: stronger evidence, more MVP value, lower burden, easier implementation, and safer use.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3" t="str">
        <x:v>Scoring dimension</x:v>
      </x:c>
      <x:c r="B4" s="14" t="str">
        <x:v>Weight</x:v>
      </x:c>
      <x:c r="D4" s="13" t="str">
        <x:v>Decision threshold</x:v>
      </x:c>
      <x:c r="E4" s="28" t="str">
        <x:v>Score</x:v>
      </x:c>
      <x:c r="F4" s="14" t="str">
        <x:v>Meaning</x:v>
      </x:c>
    </x:row>
    <x:row r="5" ht="28" customHeight="1">
      <x:c r="A5" s="56" t="str">
        <x:v>Evidence quality</x:v>
      </x:c>
      <x:c r="B5" s="57" t="n">
        <x:v>0.3</x:v>
      </x:c>
      <x:c r="C5" s="58"/>
      <x:c r="D5" s="58" t="str">
        <x:v>Build now</x:v>
      </x:c>
      <x:c r="E5" s="59" t="n">
        <x:v>4.2</x:v>
      </x:c>
      <x:c r="F5" s="58" t="str">
        <x:v>Strong fit for first release, subject to safety and rights checks</x:v>
      </x:c>
    </x:row>
    <x:row r="6" ht="28" customHeight="1">
      <x:c r="A6" s="60" t="str">
        <x:v>MVP usefulness</x:v>
      </x:c>
      <x:c r="B6" s="61" t="n">
        <x:v>0.25</x:v>
      </x:c>
      <x:c r="C6" s="62"/>
      <x:c r="D6" s="62" t="str">
        <x:v>Research next</x:v>
      </x:c>
      <x:c r="E6" s="63" t="n">
        <x:v>3.5</x:v>
      </x:c>
      <x:c r="F6" s="62" t="str">
        <x:v>Promising, but requires design validation, licensing, or deeper clinical input</x:v>
      </x:c>
    </x:row>
    <x:row r="7" ht="28" customHeight="1">
      <x:c r="A7" s="60" t="str">
        <x:v>Low user burden</x:v>
      </x:c>
      <x:c r="B7" s="61" t="n">
        <x:v>0.15</x:v>
      </x:c>
      <x:c r="C7" s="62"/>
      <x:c r="D7" s="62" t="str">
        <x:v>Later</x:v>
      </x:c>
      <x:c r="E7" s="63" t="n">
        <x:v>0</x:v>
      </x:c>
      <x:c r="F7" s="62" t="str">
        <x:v>Defer unless a clear use case or stronger evidence emerges</x:v>
      </x:c>
    </x:row>
    <x:row r="8">
      <x:c r="A8" s="60" t="str">
        <x:v>Implementation feasibility</x:v>
      </x:c>
      <x:c r="B8" s="61" t="n">
        <x:v>0.1</x:v>
      </x:c>
      <x:c r="C8" s="62"/>
      <x:c r="D8" s="62"/>
      <x:c r="E8" s="62"/>
      <x:c r="F8" s="62"/>
    </x:row>
    <x:row r="9">
      <x:c r="A9" s="60" t="str">
        <x:v>Safety / low misuse risk</x:v>
      </x:c>
      <x:c r="B9" s="61" t="n">
        <x:v>0.2</x:v>
      </x:c>
      <x:c r="C9" s="62"/>
      <x:c r="D9" s="62"/>
      <x:c r="E9" s="62"/>
      <x:c r="F9" s="62"/>
    </x:row>
    <x:row r="10">
      <x:c r="A10" s="64" t="str">
        <x:v>Total</x:v>
      </x:c>
      <x:c r="B10" s="65" t="n">
        <x:f>SUM(B5:B9)</x:f>
        <x:v>1</x:v>
      </x:c>
      <x:c r="C10" s="62"/>
      <x:c r="D10" s="62"/>
      <x:c r="E10" s="62"/>
      <x:c r="F10" s="62"/>
    </x:row>
    <x:row r="13" ht="34" customHeight="1">
      <x:c r="A13" s="13" t="str">
        <x:v>Evidence grade</x:v>
      </x:c>
      <x:c r="B13" s="28" t="str">
        <x:v>Definition</x:v>
      </x:c>
      <x:c r="C13" s="14" t="str">
        <x:v>Use in decisions</x:v>
      </x:c>
      <x:c r="E13" s="13" t="str">
        <x:v>Score</x:v>
      </x:c>
      <x:c r="F13" s="28" t="str">
        <x:v>Evidence</x:v>
      </x:c>
      <x:c r="G13" s="28" t="str">
        <x:v>Burden / feasibility</x:v>
      </x:c>
      <x:c r="H13" s="14" t="str">
        <x:v>Safety</x:v>
      </x:c>
    </x:row>
    <x:row r="14" ht="52" customHeight="1">
      <x:c r="A14" s="58" t="str">
        <x:v>A</x:v>
      </x:c>
      <x:c r="B14" s="58" t="str">
        <x:v>Guideline, high-quality systematic review, or strong confirmatory randomized trial</x:v>
      </x:c>
      <x:c r="C14" s="58" t="str">
        <x:v>Can anchor product strategy, while preserving population and intervention limits</x:v>
      </x:c>
      <x:c r="E14" s="58" t="n">
        <x:v>5</x:v>
      </x:c>
      <x:c r="F14" s="58" t="str">
        <x:v>Strong and directly relevant</x:v>
      </x:c>
      <x:c r="G14" s="58" t="str">
        <x:v>Very low burden / straightforward</x:v>
      </x:c>
      <x:c r="H14" s="58" t="str">
        <x:v>Low foreseeable misuse risk with standard guardrails</x:v>
      </x:c>
    </x:row>
    <x:row r="15" ht="52" customHeight="1">
      <x:c r="A15" s="62" t="str">
        <x:v>B</x:v>
      </x:c>
      <x:c r="B15" s="62" t="str">
        <x:v>Multiple trials or systematic reviews with limitations, heterogeneity, or modest effects</x:v>
      </x:c>
      <x:c r="C15" s="62" t="str">
        <x:v>Good candidate with careful wording and measurement</x:v>
      </x:c>
      <x:c r="E15" s="62" t="n">
        <x:v>4</x:v>
      </x:c>
      <x:c r="F15" s="62" t="str">
        <x:v>Good but not definitive</x:v>
      </x:c>
      <x:c r="G15" s="62" t="str">
        <x:v>Low burden / manageable</x:v>
      </x:c>
      <x:c r="H15" s="62" t="str">
        <x:v>Generally safe with explicit limits</x:v>
      </x:c>
    </x:row>
    <x:row r="16" ht="52" customHeight="1">
      <x:c r="A16" s="62" t="str">
        <x:v>C</x:v>
      </x:c>
      <x:c r="B16" s="62" t="str">
        <x:v>Mixed, indirect, observational, or early evidence</x:v>
      </x:c>
      <x:c r="C16" s="62" t="str">
        <x:v>Treat as an experiment, not a claim</x:v>
      </x:c>
      <x:c r="E16" s="62" t="n">
        <x:v>3</x:v>
      </x:c>
      <x:c r="F16" s="62" t="str">
        <x:v>Mixed or indirect</x:v>
      </x:c>
      <x:c r="G16" s="62" t="str">
        <x:v>Moderate burden / complexity</x:v>
      </x:c>
      <x:c r="H16" s="62" t="str">
        <x:v>Needs careful onboarding or screening</x:v>
      </x:c>
    </x:row>
    <x:row r="17" ht="52" customHeight="1">
      <x:c r="A17" s="62" t="str">
        <x:v>D</x:v>
      </x:c>
      <x:c r="B17" s="62" t="str">
        <x:v>Convention, expert opinion, or product pattern without adequate outcome evidence</x:v>
      </x:c>
      <x:c r="C17" s="62" t="str">
        <x:v>Use only for usability, never as efficacy proof</x:v>
      </x:c>
      <x:c r="E17" s="62" t="n">
        <x:v>2</x:v>
      </x:c>
      <x:c r="F17" s="62" t="str">
        <x:v>Weak or emerging</x:v>
      </x:c>
      <x:c r="G17" s="62" t="str">
        <x:v>High burden / difficult</x:v>
      </x:c>
      <x:c r="H17" s="62" t="str">
        <x:v>Meaningful risk of misinterpretation</x:v>
      </x:c>
    </x:row>
    <x:row r="18" ht="52" customHeight="1">
      <x:c r="E18" s="62" t="n">
        <x:v>1</x:v>
      </x:c>
      <x:c r="F18" s="62" t="str">
        <x:v>Unsupported for this use</x:v>
      </x:c>
      <x:c r="G18" s="62" t="str">
        <x:v>Very high burden / impractical</x:v>
      </x:c>
      <x:c r="H18" s="62" t="str">
        <x:v>Should not be self-guided</x:v>
      </x:c>
    </x:row>
    <x:row r="21">
      <x:c r="A21" s="67" t="str">
        <x:v>Non-negotiable product principles</x:v>
      </x:c>
      <x:c r="B21" s="67"/>
      <x:c r="C21" s="67"/>
      <x:c r="D21" s="67"/>
      <x:c r="E21" s="67"/>
      <x:c r="F21" s="67"/>
      <x:c r="G21" s="67"/>
      <x:c r="H21" s="67"/>
    </x:row>
    <x:row r="22" ht="34" customHeight="1">
      <x:c r="A22" s="70" t="str">
        <x:v>1</x:v>
      </x:c>
      <x:c r="B22" s="74" t="str">
        <x:v>Track briefly - Daily interaction should be short enough to sustain, with optional detail rather than mandatory forms.</x:v>
      </x:c>
      <x:c r="C22" s="74"/>
      <x:c r="D22" s="74"/>
      <x:c r="E22" s="74"/>
      <x:c r="F22" s="74"/>
      <x:c r="G22" s="74"/>
      <x:c r="H22" s="74"/>
    </x:row>
    <x:row r="23" ht="34" customHeight="1">
      <x:c r="A23" s="70" t="str">
        <x:v>2</x:v>
      </x:c>
      <x:c r="B23" s="74" t="str">
        <x:v>Function over fixation - Measure meaningful activity and life interference, not only pain intensity.</x:v>
      </x:c>
      <x:c r="C23" s="74"/>
      <x:c r="D23" s="74"/>
      <x:c r="E23" s="74"/>
      <x:c r="F23" s="74"/>
      <x:c r="G23" s="74"/>
      <x:c r="H23" s="74"/>
    </x:row>
    <x:row r="24" ht="34" customHeight="1">
      <x:c r="A24" s="70" t="str">
        <x:v>3</x:v>
      </x:c>
      <x:c r="B24" s="74" t="str">
        <x:v>Association, not causation - Say what co-occurred and disclose uncertainty. Do not label a trigger from a simple correlation.</x:v>
      </x:c>
      <x:c r="C24" s="74"/>
      <x:c r="D24" s="74"/>
      <x:c r="E24" s="74"/>
      <x:c r="F24" s="74"/>
      <x:c r="G24" s="74"/>
      <x:c r="H24" s="74"/>
    </x:row>
    <x:row r="25" ht="34" customHeight="1">
      <x:c r="A25" s="70" t="str">
        <x:v>4</x:v>
      </x:c>
      <x:c r="B25" s="74" t="str">
        <x:v>Wearables are context - Use sleep and activity trends as imperfect signals. Never present HRV or sleep stages as a pain diagnosis.</x:v>
      </x:c>
      <x:c r="C25" s="74"/>
      <x:c r="D25" s="74"/>
      <x:c r="E25" s="74"/>
      <x:c r="F25" s="74"/>
      <x:c r="G25" s="74"/>
      <x:c r="H25" s="74"/>
    </x:row>
    <x:row r="26" ht="34" customHeight="1">
      <x:c r="A26" s="70" t="str">
        <x:v>5</x:v>
      </x:c>
      <x:c r="B26" s="74" t="str">
        <x:v>No medication changes - Reminders and logs are acceptable. Recommendations to start, stop, or change medication require a clinician.</x:v>
      </x:c>
      <x:c r="C26" s="74"/>
      <x:c r="D26" s="74"/>
      <x:c r="E26" s="74"/>
      <x:c r="F26" s="74"/>
      <x:c r="G26" s="74"/>
      <x:c r="H26" s="74"/>
    </x:row>
    <x:row r="27" ht="34" customHeight="1">
      <x:c r="A27" s="70" t="str">
        <x:v>6</x:v>
      </x:c>
      <x:c r="B27" s="75" t="str">
        <x:v>Escalate red flags - Include clear pathways for new neurological deficit, severe injury, suicidal crisis, or other urgent symptoms.</x:v>
      </x:c>
      <x:c r="C27" s="75"/>
      <x:c r="D27" s="75"/>
      <x:c r="E27" s="75"/>
      <x:c r="F27" s="75"/>
      <x:c r="G27" s="75"/>
      <x:c r="H27" s="75"/>
    </x:row>
    <x:row r="30">
      <x:c r="A30" s="79" t="str">
        <x:v>Research and product-planning aid only. It is not a clinical protocol, diagnosis tool, or substitute for medical, legal, privacy, or regulatory review. Instrument rights can change, so re-check before shipping.</x:v>
      </x:c>
      <x:c r="B30" s="79"/>
      <x:c r="C30" s="79"/>
      <x:c r="D30" s="79"/>
      <x:c r="E30" s="79"/>
      <x:c r="F30" s="79"/>
      <x:c r="G30" s="79"/>
      <x:c r="H30" s="79"/>
    </x:row>
    <x:row r="31">
      <x:c r="A31" s="79"/>
      <x:c r="B31" s="79"/>
      <x:c r="C31" s="79"/>
      <x:c r="D31" s="79"/>
      <x:c r="E31" s="79"/>
      <x:c r="F31" s="79"/>
      <x:c r="G31" s="79"/>
      <x:c r="H31" s="79"/>
    </x:row>
  </x:sheetData>
  <x:mergeCells>
    <x:mergeCell ref="A1:H1"/>
    <x:mergeCell ref="A2:H2"/>
    <x:mergeCell ref="A21:H21"/>
    <x:mergeCell ref="B22:H22"/>
    <x:mergeCell ref="B23:H23"/>
    <x:mergeCell ref="B24:H24"/>
    <x:mergeCell ref="B25:H25"/>
    <x:mergeCell ref="B26:H26"/>
    <x:mergeCell ref="B27:H27"/>
    <x:mergeCell ref="A30:H31"/>
  </x:mergeCells>
  <x:dataValidations count="1">
    <x:dataValidation type="decimal" operator="between" sqref="B5:B9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9" hidden="0" customWidth="1"/>
    <x:col min="3" max="3" width="18" hidden="0" customWidth="1"/>
    <x:col min="4" max="4" width="33" hidden="0" customWidth="1"/>
    <x:col min="5" max="5" width="48" hidden="0" customWidth="1"/>
    <x:col min="6" max="6" width="38" hidden="0" customWidth="1"/>
    <x:col min="7" max="7" width="8" hidden="0" customWidth="1"/>
    <x:col min="8" max="8" width="10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4" hidden="0" customWidth="1"/>
    <x:col min="14" max="14" width="16" hidden="0" customWidth="1"/>
    <x:col min="15" max="15" width="22" hidden="0" customWidth="1"/>
    <x:col min="16" max="16" width="38" hidden="0" customWidth="1"/>
    <x:col min="17" max="17" width="48" hidden="0" customWidth="1"/>
    <x:col min="18" max="18" width="54" hidden="0" customWidth="1"/>
    <x:col min="19" max="19" width="13" hidden="0" customWidth="1"/>
  </x:cols>
  <x:sheetData>
    <x:row r="1" ht="34" customHeight="1">
      <x:c r="A1" s="3" t="str">
        <x:v>Pain measurement and journaling methods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7" t="str">
        <x:v>Flat, editable research table. Scores run from 1 to 5 and are combined using the weights on the Scorecard sheet.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4" customHeight="1">
      <x:c r="A4" s="13" t="str">
        <x:v>ID</x:v>
      </x:c>
      <x:c r="B4" s="28" t="str">
        <x:v>Method</x:v>
      </x:c>
      <x:c r="C4" s="28" t="str">
        <x:v>Category</x:v>
      </x:c>
      <x:c r="D4" s="28" t="str">
        <x:v>What it captures</x:v>
      </x:c>
      <x:c r="E4" s="28" t="str">
        <x:v>Exact protocol / cadence</x:v>
      </x:c>
      <x:c r="F4" s="28" t="str">
        <x:v>Evidence basis</x:v>
      </x:c>
      <x:c r="G4" s="28" t="str">
        <x:v>Grade</x:v>
      </x:c>
      <x:c r="H4" s="28" t="str">
        <x:v>Evidence</x:v>
      </x:c>
      <x:c r="I4" s="28" t="str">
        <x:v>MVP value</x:v>
      </x:c>
      <x:c r="J4" s="28" t="str">
        <x:v>Low burden</x:v>
      </x:c>
      <x:c r="K4" s="28" t="str">
        <x:v>Feasibility</x:v>
      </x:c>
      <x:c r="L4" s="28" t="str">
        <x:v>Safety</x:v>
      </x:c>
      <x:c r="M4" s="28" t="str">
        <x:v>Weighted score</x:v>
      </x:c>
      <x:c r="N4" s="28" t="str">
        <x:v>Decision</x:v>
      </x:c>
      <x:c r="O4" s="28" t="str">
        <x:v>Rights status</x:v>
      </x:c>
      <x:c r="P4" s="28" t="str">
        <x:v>Potential Pattern feature</x:v>
      </x:c>
      <x:c r="Q4" s="28" t="str">
        <x:v>Key limitation / guardrail</x:v>
      </x:c>
      <x:c r="R4" s="28" t="str">
        <x:v>Source URL</x:v>
      </x:c>
      <x:c r="S4" s="14" t="str">
        <x:v>Last checked</x:v>
      </x:c>
    </x:row>
    <x:row r="5" ht="74" customHeight="1">
      <x:c r="A5" s="58" t="str">
        <x:v>M01</x:v>
      </x:c>
      <x:c r="B5" s="58" t="str">
        <x:v>Personally meaningful activity rating</x:v>
      </x:c>
      <x:c r="C5" s="58" t="str">
        <x:v>Function / goals</x:v>
      </x:c>
      <x:c r="D5" s="58" t="str">
        <x:v>Ability to do one activity the person wants to regain</x:v>
      </x:c>
      <x:c r="E5" s="58" t="str">
        <x:v>Choose one activity during onboarding; rate ability 0-10 weekly and optionally after a relevant attempt</x:v>
      </x:c>
      <x:c r="F5" s="58" t="str">
        <x:v>IMMPACT function domain plus goal-based self-management</x:v>
      </x:c>
      <x:c r="G5" s="58" t="str">
        <x:v>A</x:v>
      </x:c>
      <x:c r="H5" s="84" t="n">
        <x:v>4</x:v>
      </x:c>
      <x:c r="I5" s="84" t="n">
        <x:v>5</x:v>
      </x:c>
      <x:c r="J5" s="84" t="n">
        <x:v>5</x:v>
      </x:c>
      <x:c r="K5" s="84" t="n">
        <x:v>5</x:v>
      </x:c>
      <x:c r="L5" s="84" t="n">
        <x:v>5</x:v>
      </x:c>
      <x:c r="M5" s="86" t="n">
        <x:f>ROUND(H5*'Scorecard'!$B$5+I5*'Scorecard'!$B$6+J5*'Scorecard'!$B$7+K5*'Scorecard'!$B$8+L5*'Scorecard'!$B$9,2)</x:f>
        <x:v>4.7</x:v>
      </x:c>
      <x:c r="N5" s="58" t="str">
        <x:f>IF(O5="Permission required","License first",IF(O5="Verify before use","Verify rights",IF(M5&gt;='Scorecard'!$E$5,"Build now",IF(M5&gt;='Scorecard'!$E$6,"Research next","Later"))))</x:f>
        <x:v>Build now</x:v>
      </x:c>
      <x:c r="O5" s="58" t="str">
        <x:v>Custom implementation</x:v>
      </x:c>
      <x:c r="P5" s="58" t="str">
        <x:v>Weekly function card and progress trend</x:v>
      </x:c>
      <x:c r="Q5" s="58" t="str">
        <x:v>Keep the activity stable long enough to interpret change; improvement can occur even when pain remains</x:v>
      </x:c>
      <x:c r="R5" s="58" t="str">
        <x:v>https://pubmed.ncbi.nlm.nih.gov/14659516/</x:v>
      </x:c>
      <x:c r="S5" s="88" t="n">
        <x:v>46254</x:v>
      </x:c>
    </x:row>
    <x:row r="6" ht="74" customHeight="1">
      <x:c r="A6" s="62" t="str">
        <x:v>M02</x:v>
      </x:c>
      <x:c r="B6" s="62" t="str">
        <x:v>Patient Global Impression of Change (PGIC)</x:v>
      </x:c>
      <x:c r="C6" s="62" t="str">
        <x:v>Global outcome</x:v>
      </x:c>
      <x:c r="D6" s="62" t="str">
        <x:v>Perceived overall change since a defined baseline</x:v>
      </x:c>
      <x:c r="E6" s="62" t="str">
        <x:v>One question, usually 7 response options from very much improved to very much worse; administer monthly or after a program</x:v>
      </x:c>
      <x:c r="F6" s="62" t="str">
        <x:v>Validated single-item global change measure; PhenX lists it as freely available</x:v>
      </x:c>
      <x:c r="G6" s="62" t="str">
        <x:v>A</x:v>
      </x:c>
      <x:c r="H6" s="85" t="n">
        <x:v>4</x:v>
      </x:c>
      <x:c r="I6" s="85" t="n">
        <x:v>5</x:v>
      </x:c>
      <x:c r="J6" s="85" t="n">
        <x:v>5</x:v>
      </x:c>
      <x:c r="K6" s="85" t="n">
        <x:v>5</x:v>
      </x:c>
      <x:c r="L6" s="85" t="n">
        <x:v>5</x:v>
      </x:c>
      <x:c r="M6" s="87" t="n">
        <x:f>ROUND(H6*'Scorecard'!$B$5+I6*'Scorecard'!$B$6+J6*'Scorecard'!$B$7+K6*'Scorecard'!$B$8+L6*'Scorecard'!$B$9,2)</x:f>
        <x:v>4.7</x:v>
      </x:c>
      <x:c r="N6" s="62" t="str">
        <x:f>IF(O6="Permission required","License first",IF(O6="Verify before use","Verify rights",IF(M6&gt;='Scorecard'!$E$5,"Build now",IF(M6&gt;='Scorecard'!$E$6,"Research next","Later"))))</x:f>
        <x:v>Build now</x:v>
      </x:c>
      <x:c r="O6" s="62" t="str">
        <x:v>Free / generic</x:v>
      </x:c>
      <x:c r="P6" s="62" t="str">
        <x:v>Monthly 'How have things changed?' checkpoint</x:v>
      </x:c>
      <x:c r="Q6" s="62" t="str">
        <x:v>Anchor the comparison period clearly; global ratings are influenced by current state and expectations</x:v>
      </x:c>
      <x:c r="R6" s="62" t="str">
        <x:v>https://www.phenxtoolkit.org/protocols/view/860801</x:v>
      </x:c>
      <x:c r="S6" s="89" t="n">
        <x:v>46254</x:v>
      </x:c>
    </x:row>
    <x:row r="7" ht="74" customHeight="1">
      <x:c r="A7" s="62" t="str">
        <x:v>M03</x:v>
      </x:c>
      <x:c r="B7" s="62" t="str">
        <x:v>Event-based flare or treatment log</x:v>
      </x:c>
      <x:c r="C7" s="62" t="str">
        <x:v>Event diary</x:v>
      </x:c>
      <x:c r="D7" s="62" t="str">
        <x:v>Flares, medication, therapy, unusual activity, or meaningful change</x:v>
      </x:c>
      <x:c r="E7" s="62" t="str">
        <x:v>User taps 'Something changed'; capture event, time, optional intensity, action taken, and later perceived effect</x:v>
      </x:c>
      <x:c r="F7" s="62" t="str">
        <x:v>EMA-compatible method; product protocol rather than a proprietary instrument</x:v>
      </x:c>
      <x:c r="G7" s="62" t="str">
        <x:v>B</x:v>
      </x:c>
      <x:c r="H7" s="85" t="n">
        <x:v>3</x:v>
      </x:c>
      <x:c r="I7" s="85" t="n">
        <x:v>5</x:v>
      </x:c>
      <x:c r="J7" s="85" t="n">
        <x:v>5</x:v>
      </x:c>
      <x:c r="K7" s="85" t="n">
        <x:v>5</x:v>
      </x:c>
      <x:c r="L7" s="85" t="n">
        <x:v>5</x:v>
      </x:c>
      <x:c r="M7" s="87" t="n">
        <x:f>ROUND(H7*'Scorecard'!$B$5+I7*'Scorecard'!$B$6+J7*'Scorecard'!$B$7+K7*'Scorecard'!$B$8+L7*'Scorecard'!$B$9,2)</x:f>
        <x:v>4.4</x:v>
      </x:c>
      <x:c r="N7" s="62" t="str">
        <x:f>IF(O7="Permission required","License first",IF(O7="Verify before use","Verify rights",IF(M7&gt;='Scorecard'!$E$5,"Build now",IF(M7&gt;='Scorecard'!$E$6,"Research next","Later"))))</x:f>
        <x:v>Build now</x:v>
      </x:c>
      <x:c r="O7" s="62" t="str">
        <x:v>Custom implementation</x:v>
      </x:c>
      <x:c r="P7" s="62" t="str">
        <x:v>One-tap flare log with optional follow-up</x:v>
      </x:c>
      <x:c r="Q7" s="62" t="str">
        <x:v>Avoid prompting users to attribute causation immediately; record hypotheses separately</x:v>
      </x:c>
      <x:c r="R7" s="62" t="str">
        <x:v>https://pubmed.ncbi.nlm.nih.gov/29371113/</x:v>
      </x:c>
      <x:c r="S7" s="89" t="n">
        <x:v>46254</x:v>
      </x:c>
    </x:row>
    <x:row r="8" ht="74" customHeight="1">
      <x:c r="A8" s="62" t="str">
        <x:v>M04</x:v>
      </x:c>
      <x:c r="B8" s="62" t="str">
        <x:v>0-10 Numeric Rating Scale (NRS)</x:v>
      </x:c>
      <x:c r="C8" s="62" t="str">
        <x:v>Pain intensity</x:v>
      </x:c>
      <x:c r="D8" s="62" t="str">
        <x:v>Current pain or average pain over a declared recall window</x:v>
      </x:c>
      <x:c r="E8" s="62" t="str">
        <x:v>Use 0=no pain and 10=worst imaginable pain; ask one clearly timed question and keep the recall window consistent</x:v>
      </x:c>
      <x:c r="F8" s="62" t="str">
        <x:v>Recommended and widely used pain-intensity outcome in IMMPACT work</x:v>
      </x:c>
      <x:c r="G8" s="62" t="str">
        <x:v>A</x:v>
      </x:c>
      <x:c r="H8" s="85" t="n">
        <x:v>4</x:v>
      </x:c>
      <x:c r="I8" s="85" t="n">
        <x:v>5</x:v>
      </x:c>
      <x:c r="J8" s="85" t="n">
        <x:v>5</x:v>
      </x:c>
      <x:c r="K8" s="85" t="n">
        <x:v>5</x:v>
      </x:c>
      <x:c r="L8" s="85" t="n">
        <x:v>5</x:v>
      </x:c>
      <x:c r="M8" s="87" t="n">
        <x:f>ROUND(H8*'Scorecard'!$B$5+I8*'Scorecard'!$B$6+J8*'Scorecard'!$B$7+K8*'Scorecard'!$B$8+L8*'Scorecard'!$B$9,2)</x:f>
        <x:v>4.7</x:v>
      </x:c>
      <x:c r="N8" s="62" t="str">
        <x:f>IF(O8="Permission required","License first",IF(O8="Verify before use","Verify rights",IF(M8&gt;='Scorecard'!$E$5,"Build now",IF(M8&gt;='Scorecard'!$E$6,"Research next","Later"))))</x:f>
        <x:v>Build now</x:v>
      </x:c>
      <x:c r="O8" s="62" t="str">
        <x:v>Free / generic</x:v>
      </x:c>
      <x:c r="P8" s="62" t="str">
        <x:v>Single daily pain slider, never the only primary outcome</x:v>
      </x:c>
      <x:c r="Q8" s="62" t="str">
        <x:v>Intensity alone can make stable coping look like failure and misses function, distress, and quality of life</x:v>
      </x:c>
      <x:c r="R8" s="62" t="str">
        <x:v>https://pubmed.ncbi.nlm.nih.gov/18055266/</x:v>
      </x:c>
      <x:c r="S8" s="89" t="n">
        <x:v>46254</x:v>
      </x:c>
    </x:row>
    <x:row r="9" ht="74" customHeight="1">
      <x:c r="A9" s="62" t="str">
        <x:v>M05</x:v>
      </x:c>
      <x:c r="B9" s="62" t="str">
        <x:v>PEG three-item scale</x:v>
      </x:c>
      <x:c r="C9" s="62" t="str">
        <x:v>Pain + interference</x:v>
      </x:c>
      <x:c r="D9" s="62" t="str">
        <x:v>Average pain, enjoyment of life, and general activity</x:v>
      </x:c>
      <x:c r="E9" s="62" t="str">
        <x:v>Three 0-10 items, commonly referring to the past week; score as the mean of completed items</x:v>
      </x:c>
      <x:c r="F9" s="62" t="str">
        <x:v>Validated against longer pain measures and responsive to change</x:v>
      </x:c>
      <x:c r="G9" s="62" t="str">
        <x:v>A</x:v>
      </x:c>
      <x:c r="H9" s="85" t="n">
        <x:v>5</x:v>
      </x:c>
      <x:c r="I9" s="85" t="n">
        <x:v>5</x:v>
      </x:c>
      <x:c r="J9" s="85" t="n">
        <x:v>5</x:v>
      </x:c>
      <x:c r="K9" s="85" t="n">
        <x:v>5</x:v>
      </x:c>
      <x:c r="L9" s="85" t="n">
        <x:v>5</x:v>
      </x:c>
      <x:c r="M9" s="87" t="n">
        <x:f>ROUND(H9*'Scorecard'!$B$5+I9*'Scorecard'!$B$6+J9*'Scorecard'!$B$7+K9*'Scorecard'!$B$8+L9*'Scorecard'!$B$9,2)</x:f>
        <x:v>5</x:v>
      </x:c>
      <x:c r="N9" s="62" t="str">
        <x:f>IF(O9="Permission required","License first",IF(O9="Verify before use","Verify rights",IF(M9&gt;='Scorecard'!$E$5,"Build now",IF(M9&gt;='Scorecard'!$E$6,"Research next","Later"))))</x:f>
        <x:v>Verify rights</x:v>
      </x:c>
      <x:c r="O9" s="62" t="str">
        <x:v>Verify before use</x:v>
      </x:c>
      <x:c r="P9" s="62" t="str">
        <x:v>Candidate weekly outcome if reproduction rights are confirmed</x:v>
      </x:c>
      <x:c r="Q9" s="62" t="str">
        <x:v>PEG items were selected from the copyrighted BPI; confirm commercial digital rights before reproducing wording</x:v>
      </x:c>
      <x:c r="R9" s="62" t="str">
        <x:v>https://pmc.ncbi.nlm.nih.gov/articles/PMC2686775/</x:v>
      </x:c>
      <x:c r="S9" s="89" t="n">
        <x:v>46254</x:v>
      </x:c>
    </x:row>
    <x:row r="10" ht="74" customHeight="1">
      <x:c r="A10" s="62" t="str">
        <x:v>M06</x:v>
      </x:c>
      <x:c r="B10" s="62" t="str">
        <x:v>Brief weekly retrospective review</x:v>
      </x:c>
      <x:c r="C10" s="62" t="str">
        <x:v>Reflection</x:v>
      </x:c>
      <x:c r="D10" s="62" t="str">
        <x:v>Perceived trend, helpful actions, setbacks, and next experiment</x:v>
      </x:c>
      <x:c r="E10" s="62" t="str">
        <x:v>Once weekly: trend, one thing that helped, one thing that was hard, and one small next action</x:v>
      </x:c>
      <x:c r="F10" s="62" t="str">
        <x:v>Product synthesis informed by recall-bias research</x:v>
      </x:c>
      <x:c r="G10" s="62" t="str">
        <x:v>B</x:v>
      </x:c>
      <x:c r="H10" s="85" t="n">
        <x:v>3</x:v>
      </x:c>
      <x:c r="I10" s="85" t="n">
        <x:v>5</x:v>
      </x:c>
      <x:c r="J10" s="85" t="n">
        <x:v>4</x:v>
      </x:c>
      <x:c r="K10" s="85" t="n">
        <x:v>5</x:v>
      </x:c>
      <x:c r="L10" s="85" t="n">
        <x:v>5</x:v>
      </x:c>
      <x:c r="M10" s="87" t="n">
        <x:f>ROUND(H10*'Scorecard'!$B$5+I10*'Scorecard'!$B$6+J10*'Scorecard'!$B$7+K10*'Scorecard'!$B$8+L10*'Scorecard'!$B$9,2)</x:f>
        <x:v>4.25</x:v>
      </x:c>
      <x:c r="N10" s="62" t="str">
        <x:f>IF(O10="Permission required","License first",IF(O10="Verify before use","Verify rights",IF(M10&gt;='Scorecard'!$E$5,"Build now",IF(M10&gt;='Scorecard'!$E$6,"Research next","Later"))))</x:f>
        <x:v>Build now</x:v>
      </x:c>
      <x:c r="O10" s="62" t="str">
        <x:v>Custom implementation</x:v>
      </x:c>
      <x:c r="P10" s="62" t="str">
        <x:v>Weekly insight and next-step card</x:v>
      </x:c>
      <x:c r="Q10" s="62" t="str">
        <x:v>Retrospective ratings overweight peaks and recent moments; compare with daily data rather than treating memory as ground truth</x:v>
      </x:c>
      <x:c r="R10" s="62" t="str">
        <x:v>https://pubmed.ncbi.nlm.nih.gov/20817615/</x:v>
      </x:c>
      <x:c r="S10" s="89" t="n">
        <x:v>46254</x:v>
      </x:c>
    </x:row>
    <x:row r="11" ht="74" customHeight="1">
      <x:c r="A11" s="62" t="str">
        <x:v>M07</x:v>
      </x:c>
      <x:c r="B11" s="62" t="str">
        <x:v>Ecological Momentary Assessment micro-check-in</x:v>
      </x:c>
      <x:c r="C11" s="62" t="str">
        <x:v>Momentary diary</x:v>
      </x:c>
      <x:c r="D11" s="62" t="str">
        <x:v>Current pain, energy, mood or nervous-system state, and current ability</x:v>
      </x:c>
      <x:c r="E11" s="62" t="str">
        <x:v>One or two prompts per day; ask about the present moment; allow snooze and quiet periods; target under 20 seconds</x:v>
      </x:c>
      <x:c r="F11" s="62" t="str">
        <x:v>Systematic review of EMA methodology in chronic pain</x:v>
      </x:c>
      <x:c r="G11" s="62" t="str">
        <x:v>A</x:v>
      </x:c>
      <x:c r="H11" s="85" t="n">
        <x:v>4</x:v>
      </x:c>
      <x:c r="I11" s="85" t="n">
        <x:v>5</x:v>
      </x:c>
      <x:c r="J11" s="85" t="n">
        <x:v>4</x:v>
      </x:c>
      <x:c r="K11" s="85" t="n">
        <x:v>4</x:v>
      </x:c>
      <x:c r="L11" s="85" t="n">
        <x:v>4</x:v>
      </x:c>
      <x:c r="M11" s="87" t="n">
        <x:f>ROUND(H11*'Scorecard'!$B$5+I11*'Scorecard'!$B$6+J11*'Scorecard'!$B$7+K11*'Scorecard'!$B$8+L11*'Scorecard'!$B$9,2)</x:f>
        <x:v>4.25</x:v>
      </x:c>
      <x:c r="N11" s="62" t="str">
        <x:f>IF(O11="Permission required","License first",IF(O11="Verify before use","Verify rights",IF(M11&gt;='Scorecard'!$E$5,"Build now",IF(M11&gt;='Scorecard'!$E$6,"Research next","Later"))))</x:f>
        <x:v>Build now</x:v>
      </x:c>
      <x:c r="O11" s="62" t="str">
        <x:v>Custom implementation</x:v>
      </x:c>
      <x:c r="P11" s="62" t="str">
        <x:v>20-second adaptive daily check-in</x:v>
      </x:c>
      <x:c r="Q11" s="62" t="str">
        <x:v>Frequent self-assessment can burden users and may be reactive for some people; personalize frequency</x:v>
      </x:c>
      <x:c r="R11" s="62" t="str">
        <x:v>https://pubmed.ncbi.nlm.nih.gov/29371113/</x:v>
      </x:c>
      <x:c r="S11" s="89" t="n">
        <x:v>46254</x:v>
      </x:c>
    </x:row>
    <x:row r="12" ht="74" customHeight="1">
      <x:c r="A12" s="62" t="str">
        <x:v>M08</x:v>
      </x:c>
      <x:c r="B12" s="62" t="str">
        <x:v>PROMIS Pain Interference 4a</x:v>
      </x:c>
      <x:c r="C12" s="62" t="str">
        <x:v>Pain interference</x:v>
      </x:c>
      <x:c r="D12" s="62" t="str">
        <x:v>Impact on physical, social, cognitive, emotional, recreational, and sleep activities</x:v>
      </x:c>
      <x:c r="E12" s="62" t="str">
        <x:v>Four fixed items with five response levels; convert raw score to PROMIS T-score using official scoring resources</x:v>
      </x:c>
      <x:c r="F12" s="62" t="str">
        <x:v>Strong modern patient-reported outcome system</x:v>
      </x:c>
      <x:c r="G12" s="62" t="str">
        <x:v>A</x:v>
      </x:c>
      <x:c r="H12" s="85" t="n">
        <x:v>5</x:v>
      </x:c>
      <x:c r="I12" s="85" t="n">
        <x:v>4</x:v>
      </x:c>
      <x:c r="J12" s="85" t="n">
        <x:v>4</x:v>
      </x:c>
      <x:c r="K12" s="85" t="n">
        <x:v>2</x:v>
      </x:c>
      <x:c r="L12" s="85" t="n">
        <x:v>5</x:v>
      </x:c>
      <x:c r="M12" s="87" t="n">
        <x:f>ROUND(H12*'Scorecard'!$B$5+I12*'Scorecard'!$B$6+J12*'Scorecard'!$B$7+K12*'Scorecard'!$B$8+L12*'Scorecard'!$B$9,2)</x:f>
        <x:v>4.3</x:v>
      </x:c>
      <x:c r="N12" s="62" t="str">
        <x:f>IF(O12="Permission required","License first",IF(O12="Verify before use","Verify rights",IF(M12&gt;='Scorecard'!$E$5,"Build now",IF(M12&gt;='Scorecard'!$E$6,"Research next","Later"))))</x:f>
        <x:v>License first</x:v>
      </x:c>
      <x:c r="O12" s="62" t="str">
        <x:v>Permission required</x:v>
      </x:c>
      <x:c r="P12" s="62" t="str">
        <x:v>Periodic validated outcome for research or clinical partnerships</x:v>
      </x:c>
      <x:c r="Q12" s="62" t="str">
        <x:v>Commercial users and proprietary app integrations require written permission; do not adapt wording or scoring</x:v>
      </x:c>
      <x:c r="R12" s="62" t="str">
        <x:v>https://www.healthmeasures.net/index.php?id=164&amp;option=com_instruments&amp;view=measure</x:v>
      </x:c>
      <x:c r="S12" s="89" t="n">
        <x:v>46254</x:v>
      </x:c>
    </x:row>
    <x:row r="13" ht="74" customHeight="1">
      <x:c r="A13" s="62" t="str">
        <x:v>M09</x:v>
      </x:c>
      <x:c r="B13" s="62" t="str">
        <x:v>Custom body map</x:v>
      </x:c>
      <x:c r="C13" s="62" t="str">
        <x:v>Location</x:v>
      </x:c>
      <x:c r="D13" s="62" t="str">
        <x:v>Location, distribution, and spread of pain</x:v>
      </x:c>
      <x:c r="E13" s="62" t="str">
        <x:v>Optional tap or draw on a custom front/back body graphic; save regions and laterality without forcing detailed anatomy</x:v>
      </x:c>
      <x:c r="F13" s="62" t="str">
        <x:v>Common component of multidimensional pain assessment; custom artwork avoids copying proprietary instruments</x:v>
      </x:c>
      <x:c r="G13" s="62" t="str">
        <x:v>B</x:v>
      </x:c>
      <x:c r="H13" s="85" t="n">
        <x:v>3</x:v>
      </x:c>
      <x:c r="I13" s="85" t="n">
        <x:v>4</x:v>
      </x:c>
      <x:c r="J13" s="85" t="n">
        <x:v>4</x:v>
      </x:c>
      <x:c r="K13" s="85" t="n">
        <x:v>4</x:v>
      </x:c>
      <x:c r="L13" s="85" t="n">
        <x:v>5</x:v>
      </x:c>
      <x:c r="M13" s="87" t="n">
        <x:f>ROUND(H13*'Scorecard'!$B$5+I13*'Scorecard'!$B$6+J13*'Scorecard'!$B$7+K13*'Scorecard'!$B$8+L13*'Scorecard'!$B$9,2)</x:f>
        <x:v>3.9</x:v>
      </x:c>
      <x:c r="N13" s="62" t="str">
        <x:f>IF(O13="Permission required","License first",IF(O13="Verify before use","Verify rights",IF(M13&gt;='Scorecard'!$E$5,"Build now",IF(M13&gt;='Scorecard'!$E$6,"Research next","Later"))))</x:f>
        <x:v>Research next</x:v>
      </x:c>
      <x:c r="O13" s="62" t="str">
        <x:v>Custom implementation</x:v>
      </x:c>
      <x:c r="P13" s="62" t="str">
        <x:v>Optional body map attached to a flare or weekly check-in</x:v>
      </x:c>
      <x:c r="Q13" s="62" t="str">
        <x:v>Location does not identify pathology; avoid diagnostic labels based on map patterns</x:v>
      </x:c>
      <x:c r="R13" s="62" t="str">
        <x:v>https://www.mdanderson.org/research/departments-labs-institutes/departments-divisions/symptom-research/symptom-assessment-tools/brief-pain-inventory.html</x:v>
      </x:c>
      <x:c r="S13" s="89" t="n">
        <x:v>46254</x:v>
      </x:c>
    </x:row>
    <x:row r="14" ht="74" customHeight="1">
      <x:c r="A14" s="62" t="str">
        <x:v>M10</x:v>
      </x:c>
      <x:c r="B14" s="62" t="str">
        <x:v>Passive sleep and activity context</x:v>
      </x:c>
      <x:c r="C14" s="62" t="str">
        <x:v>Wearables</x:v>
      </x:c>
      <x:c r="D14" s="62" t="str">
        <x:v>Sleep duration/consistency, steps, activity minutes, workouts, resting heart rate</x:v>
      </x:c>
      <x:c r="E14" s="62" t="str">
        <x:v>Import daily summaries with user consent; show weekly trends and missing-data indicators; do not require a wearable</x:v>
      </x:c>
      <x:c r="F14" s="62" t="str">
        <x:v>Wearable measures can support longitudinal context but are imperfect clinical proxies</x:v>
      </x:c>
      <x:c r="G14" s="62" t="str">
        <x:v>B</x:v>
      </x:c>
      <x:c r="H14" s="85" t="n">
        <x:v>3</x:v>
      </x:c>
      <x:c r="I14" s="85" t="n">
        <x:v>4</x:v>
      </x:c>
      <x:c r="J14" s="85" t="n">
        <x:v>5</x:v>
      </x:c>
      <x:c r="K14" s="85" t="n">
        <x:v>3</x:v>
      </x:c>
      <x:c r="L14" s="85" t="n">
        <x:v>4</x:v>
      </x:c>
      <x:c r="M14" s="87" t="n">
        <x:f>ROUND(H14*'Scorecard'!$B$5+I14*'Scorecard'!$B$6+J14*'Scorecard'!$B$7+K14*'Scorecard'!$B$8+L14*'Scorecard'!$B$9,2)</x:f>
        <x:v>3.75</x:v>
      </x:c>
      <x:c r="N14" s="62" t="str">
        <x:f>IF(O14="Permission required","License first",IF(O14="Verify before use","Verify rights",IF(M14&gt;='Scorecard'!$E$5,"Build now",IF(M14&gt;='Scorecard'!$E$6,"Research next","Later"))))</x:f>
        <x:v>Research next</x:v>
      </x:c>
      <x:c r="O14" s="62" t="str">
        <x:v>Platform data terms apply</x:v>
      </x:c>
      <x:c r="P14" s="62" t="str">
        <x:v>Apple Health context layer and hypothesis generator</x:v>
      </x:c>
      <x:c r="Q14" s="62" t="str">
        <x:v>Consumer sleep trackers differ from polysomnography; emphasize patterns, not exact sleep stages or causal claims</x:v>
      </x:c>
      <x:c r="R14" s="62" t="str">
        <x:v>https://pubmed.ncbi.nlm.nih.gov/39484805/</x:v>
      </x:c>
      <x:c r="S14" s="89" t="n">
        <x:v>46254</x:v>
      </x:c>
    </x:row>
    <x:row r="15" ht="74" customHeight="1">
      <x:c r="A15" s="62" t="str">
        <x:v>M11</x:v>
      </x:c>
      <x:c r="B15" s="62" t="str">
        <x:v>Brief Pain Inventory - Short Form (BPI-SF)</x:v>
      </x:c>
      <x:c r="C15" s="62" t="str">
        <x:v>Pain + interference</x:v>
      </x:c>
      <x:c r="D15" s="62" t="str">
        <x:v>Pain severity, relief, location, and interference across seven life areas</x:v>
      </x:c>
      <x:c r="E15" s="62" t="str">
        <x:v>Typically assesses four pain-severity items and seven interference items over 24 hours or one week</x:v>
      </x:c>
      <x:c r="F15" s="62" t="str">
        <x:v>Widely validated multidimensional pain instrument</x:v>
      </x:c>
      <x:c r="G15" s="62" t="str">
        <x:v>A</x:v>
      </x:c>
      <x:c r="H15" s="85" t="n">
        <x:v>5</x:v>
      </x:c>
      <x:c r="I15" s="85" t="n">
        <x:v>3</x:v>
      </x:c>
      <x:c r="J15" s="85" t="n">
        <x:v>2</x:v>
      </x:c>
      <x:c r="K15" s="85" t="n">
        <x:v>2</x:v>
      </x:c>
      <x:c r="L15" s="85" t="n">
        <x:v>5</x:v>
      </x:c>
      <x:c r="M15" s="87" t="n">
        <x:f>ROUND(H15*'Scorecard'!$B$5+I15*'Scorecard'!$B$6+J15*'Scorecard'!$B$7+K15*'Scorecard'!$B$8+L15*'Scorecard'!$B$9,2)</x:f>
        <x:v>3.75</x:v>
      </x:c>
      <x:c r="N15" s="62" t="str">
        <x:f>IF(O15="Permission required","License first",IF(O15="Verify before use","Verify rights",IF(M15&gt;='Scorecard'!$E$5,"Build now",IF(M15&gt;='Scorecard'!$E$6,"Research next","Later"))))</x:f>
        <x:v>License first</x:v>
      </x:c>
      <x:c r="O15" s="62" t="str">
        <x:v>Permission required</x:v>
      </x:c>
      <x:c r="P15" s="62" t="str">
        <x:v>Potential clinician-facing assessment, not an MVP default</x:v>
      </x:c>
      <x:c r="Q15" s="62" t="str">
        <x:v>Copyrighted by MD Anderson; permission/order process applies and fees may apply</x:v>
      </x:c>
      <x:c r="R15" s="62" t="str">
        <x:v>https://www.mdanderson.org/research/departments-labs-institutes/departments-divisions/symptom-research/symptom-assessment-tools/brief-pain-inventory.html</x:v>
      </x:c>
      <x:c r="S15" s="89" t="n">
        <x:v>46254</x:v>
      </x:c>
    </x:row>
    <x:row r="16" ht="74" customHeight="1">
      <x:c r="A16" s="62" t="str">
        <x:v>M12</x:v>
      </x:c>
      <x:c r="B16" s="62" t="str">
        <x:v>Graded Chronic Pain Scale - Revised (GCPS-R)</x:v>
      </x:c>
      <x:c r="C16" s="62" t="str">
        <x:v>Severity classification</x:v>
      </x:c>
      <x:c r="D16" s="62" t="str">
        <x:v>Chronic pain status and mild, bothersome, or high-impact chronic pain</x:v>
      </x:c>
      <x:c r="E16" s="62" t="str">
        <x:v>Five-item instrument; uses a three-month chronicity window plus current pain/interference items</x:v>
      </x:c>
      <x:c r="F16" s="62" t="str">
        <x:v>Validated population-level pain classification</x:v>
      </x:c>
      <x:c r="G16" s="62" t="str">
        <x:v>A</x:v>
      </x:c>
      <x:c r="H16" s="85" t="n">
        <x:v>5</x:v>
      </x:c>
      <x:c r="I16" s="85" t="n">
        <x:v>3</x:v>
      </x:c>
      <x:c r="J16" s="85" t="n">
        <x:v>4</x:v>
      </x:c>
      <x:c r="K16" s="85" t="n">
        <x:v>3</x:v>
      </x:c>
      <x:c r="L16" s="85" t="n">
        <x:v>5</x:v>
      </x:c>
      <x:c r="M16" s="87" t="n">
        <x:f>ROUND(H16*'Scorecard'!$B$5+I16*'Scorecard'!$B$6+J16*'Scorecard'!$B$7+K16*'Scorecard'!$B$8+L16*'Scorecard'!$B$9,2)</x:f>
        <x:v>4.15</x:v>
      </x:c>
      <x:c r="N16" s="62" t="str">
        <x:f>IF(O16="Permission required","License first",IF(O16="Verify before use","Verify rights",IF(M16&gt;='Scorecard'!$E$5,"Build now",IF(M16&gt;='Scorecard'!$E$6,"Research next","Later"))))</x:f>
        <x:v>Verify rights</x:v>
      </x:c>
      <x:c r="O16" s="62" t="str">
        <x:v>Verify before use</x:v>
      </x:c>
      <x:c r="P16" s="62" t="str">
        <x:v>Occasional baseline segmentation or research intake</x:v>
      </x:c>
      <x:c r="Q16" s="62" t="str">
        <x:v>Designed for classification rather than daily tracking; verify current copyright and digital-use terms</x:v>
      </x:c>
      <x:c r="R16" s="62" t="str">
        <x:v>https://pmc.ncbi.nlm.nih.gov/articles/PMC7097879/</x:v>
      </x:c>
      <x:c r="S16" s="89" t="n">
        <x:v>46254</x:v>
      </x:c>
    </x:row>
    <x:row r="17" ht="74" customHeight="1">
      <x:c r="A17" s="62" t="str">
        <x:v>M13</x:v>
      </x:c>
      <x:c r="B17" s="62" t="str">
        <x:v>Custom pain-quality descriptors</x:v>
      </x:c>
      <x:c r="C17" s="62" t="str">
        <x:v>Pain quality</x:v>
      </x:c>
      <x:c r="D17" s="62" t="str">
        <x:v>Burning, aching, stabbing, pressure, sensitivity, numbness, and other qualities</x:v>
      </x:c>
      <x:c r="E17" s="62" t="str">
        <x:v>Optional multi-select during a flare; offer a short custom list plus free text; do not copy a proprietary questionnaire</x:v>
      </x:c>
      <x:c r="F17" s="62" t="str">
        <x:v>Multidimensional pain assessment convention</x:v>
      </x:c>
      <x:c r="G17" s="62" t="str">
        <x:v>B</x:v>
      </x:c>
      <x:c r="H17" s="85" t="n">
        <x:v>3</x:v>
      </x:c>
      <x:c r="I17" s="85" t="n">
        <x:v>3</x:v>
      </x:c>
      <x:c r="J17" s="85" t="n">
        <x:v>3</x:v>
      </x:c>
      <x:c r="K17" s="85" t="n">
        <x:v>4</x:v>
      </x:c>
      <x:c r="L17" s="85" t="n">
        <x:v>4</x:v>
      </x:c>
      <x:c r="M17" s="87" t="n">
        <x:f>ROUND(H17*'Scorecard'!$B$5+I17*'Scorecard'!$B$6+J17*'Scorecard'!$B$7+K17*'Scorecard'!$B$8+L17*'Scorecard'!$B$9,2)</x:f>
        <x:v>3.3</x:v>
      </x:c>
      <x:c r="N17" s="62" t="str">
        <x:f>IF(O17="Permission required","License first",IF(O17="Verify before use","Verify rights",IF(M17&gt;='Scorecard'!$E$5,"Build now",IF(M17&gt;='Scorecard'!$E$6,"Research next","Later"))))</x:f>
        <x:v>Later</x:v>
      </x:c>
      <x:c r="O17" s="62" t="str">
        <x:v>Custom implementation</x:v>
      </x:c>
      <x:c r="P17" s="62" t="str">
        <x:v>Optional descriptors for communication and reports</x:v>
      </x:c>
      <x:c r="Q17" s="62" t="str">
        <x:v>Descriptors may suggest mechanisms but are not diagnostic on their own</x:v>
      </x:c>
      <x:c r="R17" s="62" t="str">
        <x:v>https://pmc.ncbi.nlm.nih.gov/articles/PMC7554114/</x:v>
      </x:c>
      <x:c r="S17" s="89" t="n">
        <x:v>46254</x:v>
      </x:c>
    </x:row>
    <x:row r="18" ht="74" customHeight="1">
      <x:c r="A18" s="62" t="str">
        <x:v>M14</x:v>
      </x:c>
      <x:c r="B18" s="62" t="str">
        <x:v>Heart-rate variability as context</x:v>
      </x:c>
      <x:c r="C18" s="62" t="str">
        <x:v>Wearables</x:v>
      </x:c>
      <x:c r="D18" s="62" t="str">
        <x:v>Autonomic variation from supported wearable devices</x:v>
      </x:c>
      <x:c r="E18" s="62" t="str">
        <x:v>Use only normalized personal trends with data-quality checks; never create a real-time pain or readiness score from HRV alone</x:v>
      </x:c>
      <x:c r="F18" s="62" t="str">
        <x:v>Systematic reviews show group-level association with pain but substantial heterogeneity</x:v>
      </x:c>
      <x:c r="G18" s="62" t="str">
        <x:v>B</x:v>
      </x:c>
      <x:c r="H18" s="85" t="n">
        <x:v>2</x:v>
      </x:c>
      <x:c r="I18" s="85" t="n">
        <x:v>2</x:v>
      </x:c>
      <x:c r="J18" s="85" t="n">
        <x:v>5</x:v>
      </x:c>
      <x:c r="K18" s="85" t="n">
        <x:v>3</x:v>
      </x:c>
      <x:c r="L18" s="85" t="n">
        <x:v>3</x:v>
      </x:c>
      <x:c r="M18" s="87" t="n">
        <x:f>ROUND(H18*'Scorecard'!$B$5+I18*'Scorecard'!$B$6+J18*'Scorecard'!$B$7+K18*'Scorecard'!$B$8+L18*'Scorecard'!$B$9,2)</x:f>
        <x:v>2.75</x:v>
      </x:c>
      <x:c r="N18" s="62" t="str">
        <x:f>IF(O18="Permission required","License first",IF(O18="Verify before use","Verify rights",IF(M18&gt;='Scorecard'!$E$5,"Build now",IF(M18&gt;='Scorecard'!$E$6,"Research next","Later"))))</x:f>
        <x:v>Later</x:v>
      </x:c>
      <x:c r="O18" s="62" t="str">
        <x:v>Platform data terms apply</x:v>
      </x:c>
      <x:c r="P18" s="62" t="str">
        <x:v>Optional research signal, not an MVP outcome</x:v>
      </x:c>
      <x:c r="Q18" s="62" t="str">
        <x:v>HRV is affected by posture, breathing, illness, fitness, medication, device, and measurement conditions</x:v>
      </x:c>
      <x:c r="R18" s="62" t="str">
        <x:v>https://pubmed.ncbi.nlm.nih.gov/35203917/</x:v>
      </x:c>
      <x:c r="S18" s="89" t="n">
        <x:v>46254</x:v>
      </x:c>
    </x:row>
  </x:sheetData>
  <x:mergeCells>
    <x:mergeCell ref="A1:S1"/>
    <x:mergeCell ref="A2:S2"/>
  </x:mergeCells>
  <x:conditionalFormatting sqref="M5:M18">
    <x:cfRule type="colorScale" priority="1">
      <x:colorScale>
        <x:cfvo type="min"/>
        <x:cfvo type="percentile" val="50"/>
        <x:cfvo type="max"/>
        <x:color rgb="FFFDE8E7"/>
        <x:color rgb="FFFFF3C4"/>
        <x:color rgb="FFDDF4EA"/>
      </x:colorScale>
    </x:cfRule>
  </x:conditionalFormatting>
  <x:conditionalFormatting sqref="N5:N18">
    <x:cfRule type="containsText" dxfId="0" priority="2" operator="containsText" text="Build now"/>
    <x:cfRule type="containsText" dxfId="1" priority="3" operator="containsText" text="Research next"/>
    <x:cfRule type="containsText" dxfId="2" priority="4" operator="containsText" text="License first"/>
    <x:cfRule type="containsText" dxfId="3" priority="5" operator="containsText" text="Verify rights"/>
    <x:cfRule type="containsText" dxfId="4" priority="6" operator="containsText" text="Later"/>
  </x:conditionalFormatting>
  <x:dataValidations count="2">
    <x:dataValidation type="whole" operator="between" sqref="H5:L18">
      <x:formula1>1</x:formula1>
      <x:formula2>5</x:formula2>
    </x:dataValidation>
    <x:dataValidation type="list" sqref="O5:O18">
      <x:formula1>"Free / generic,Custom implementation,Permission required,Verify before use,Platform data terms apply"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e7f08e960748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54" hidden="0" customWidth="1"/>
    <x:col min="5" max="5" width="48" hidden="0" customWidth="1"/>
    <x:col min="6" max="6" width="8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10" hidden="0" customWidth="1"/>
    <x:col min="12" max="12" width="14" hidden="0" customWidth="1"/>
    <x:col min="13" max="13" width="16" hidden="0" customWidth="1"/>
    <x:col min="14" max="14" width="42" hidden="0" customWidth="1"/>
    <x:col min="15" max="15" width="54" hidden="0" customWidth="1"/>
    <x:col min="16" max="16" width="54" hidden="0" customWidth="1"/>
    <x:col min="17" max="17" width="13" hidden="0" customWidth="1"/>
  </x:cols>
  <x:sheetData>
    <x:row r="1" ht="34" customHeight="1">
      <x:c r="A1" s="3" t="str">
        <x:v>Evidence-based management methods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Methods are ranked as product components, not as stand-alone medical recommendations. Protocols still require clinical review before implementation.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4" customHeight="1">
      <x:c r="A4" s="13" t="str">
        <x:v>ID</x:v>
      </x:c>
      <x:c r="B4" s="28" t="str">
        <x:v>Method</x:v>
      </x:c>
      <x:c r="C4" s="28" t="str">
        <x:v>Category</x:v>
      </x:c>
      <x:c r="D4" s="28" t="str">
        <x:v>Exact protocol / cadence</x:v>
      </x:c>
      <x:c r="E4" s="28" t="str">
        <x:v>Evidence basis</x:v>
      </x:c>
      <x:c r="F4" s="28" t="str">
        <x:v>Grade</x:v>
      </x:c>
      <x:c r="G4" s="28" t="str">
        <x:v>Evidence</x:v>
      </x:c>
      <x:c r="H4" s="28" t="str">
        <x:v>MVP value</x:v>
      </x:c>
      <x:c r="I4" s="28" t="str">
        <x:v>Low burden</x:v>
      </x:c>
      <x:c r="J4" s="28" t="str">
        <x:v>Feasibility</x:v>
      </x:c>
      <x:c r="K4" s="28" t="str">
        <x:v>Safety</x:v>
      </x:c>
      <x:c r="L4" s="28" t="str">
        <x:v>Weighted score</x:v>
      </x:c>
      <x:c r="M4" s="28" t="str">
        <x:v>Decision</x:v>
      </x:c>
      <x:c r="N4" s="28" t="str">
        <x:v>Potential Pattern feature</x:v>
      </x:c>
      <x:c r="O4" s="28" t="str">
        <x:v>Key limitation / guardrail</x:v>
      </x:c>
      <x:c r="P4" s="28" t="str">
        <x:v>Source URL</x:v>
      </x:c>
      <x:c r="Q4" s="14" t="str">
        <x:v>Last checked</x:v>
      </x:c>
    </x:row>
    <x:row r="5" ht="78" customHeight="1">
      <x:c r="A5" s="58" t="str">
        <x:v>I01</x:v>
      </x:c>
      <x:c r="B5" s="58" t="str">
        <x:v>Values-based goal setting and function restoration</x:v>
      </x:c>
      <x:c r="C5" s="58" t="str">
        <x:v>Behavioral self-management</x:v>
      </x:c>
      <x:c r="D5" s="58" t="str">
        <x:v>Define one meaningful life activity, choose a small next action, review ability weekly, and adjust without requiring pain to disappear first</x:v>
      </x:c>
      <x:c r="E5" s="58" t="str">
        <x:v>IMMPACT function emphasis and ACT principles</x:v>
      </x:c>
      <x:c r="F5" s="58" t="str">
        <x:v>A</x:v>
      </x:c>
      <x:c r="G5" s="84" t="n">
        <x:v>4</x:v>
      </x:c>
      <x:c r="H5" s="84" t="n">
        <x:v>5</x:v>
      </x:c>
      <x:c r="I5" s="84" t="n">
        <x:v>5</x:v>
      </x:c>
      <x:c r="J5" s="84" t="n">
        <x:v>5</x:v>
      </x:c>
      <x:c r="K5" s="84" t="n">
        <x:v>5</x:v>
      </x:c>
      <x:c r="L5" s="86" t="n">
        <x:f>ROUND(G5*'Scorecard'!$B$5+H5*'Scorecard'!$B$6+I5*'Scorecard'!$B$7+J5*'Scorecard'!$B$8+K5*'Scorecard'!$B$9,2)</x:f>
        <x:v>4.7</x:v>
      </x:c>
      <x:c r="M5" s="58" t="str">
        <x:f>IF(L5&gt;='Scorecard'!$E$5,"Build now",IF(L5&gt;='Scorecard'!$E$6,"Research next","Later"))</x:f>
        <x:v>Build now</x:v>
      </x:c>
      <x:c r="N5" s="58" t="str">
        <x:v>Goal ladder, weekly function score, and wins feed</x:v>
      </x:c>
      <x:c r="O5" s="58" t="str">
        <x:v>Do not frame missed goals as noncompliance; adapt to flares and capacity</x:v>
      </x:c>
      <x:c r="P5" s="58" t="str">
        <x:v>https://pubmed.ncbi.nlm.nih.gov/14659516/</x:v>
      </x:c>
      <x:c r="Q5" s="88" t="n">
        <x:v>46254</x:v>
      </x:c>
    </x:row>
    <x:row r="6" ht="78" customHeight="1">
      <x:c r="A6" s="62" t="str">
        <x:v>I02</x:v>
      </x:c>
      <x:c r="B6" s="62" t="str">
        <x:v>Personalized flare plan</x:v>
      </x:c>
      <x:c r="C6" s="62" t="str">
        <x:v>Self-management</x:v>
      </x:c>
      <x:c r="D6" s="62" t="str">
        <x:v>Create when relatively stable: early signs, safe first steps, people to contact, medication plan supplied by clinician, and urgent red flags</x:v>
      </x:c>
      <x:c r="E6" s="62" t="str">
        <x:v>Guideline-compatible self-management pattern; direct protocol should be clinically reviewed</x:v>
      </x:c>
      <x:c r="F6" s="62" t="str">
        <x:v>B</x:v>
      </x:c>
      <x:c r="G6" s="85" t="n">
        <x:v>3</x:v>
      </x:c>
      <x:c r="H6" s="85" t="n">
        <x:v>5</x:v>
      </x:c>
      <x:c r="I6" s="85" t="n">
        <x:v>5</x:v>
      </x:c>
      <x:c r="J6" s="85" t="n">
        <x:v>5</x:v>
      </x:c>
      <x:c r="K6" s="85" t="n">
        <x:v>5</x:v>
      </x:c>
      <x:c r="L6" s="87" t="n">
        <x:f>ROUND(G6*'Scorecard'!$B$5+H6*'Scorecard'!$B$6+I6*'Scorecard'!$B$7+J6*'Scorecard'!$B$8+K6*'Scorecard'!$B$9,2)</x:f>
        <x:v>4.4</x:v>
      </x:c>
      <x:c r="M6" s="62" t="str">
        <x:f>IF(L6&gt;='Scorecard'!$E$5,"Build now",IF(L6&gt;='Scorecard'!$E$6,"Research next","Later"))</x:f>
        <x:v>Build now</x:v>
      </x:c>
      <x:c r="N6" s="62" t="str">
        <x:v>One-tap flare mode with a pre-agreed sequence</x:v>
      </x:c>
      <x:c r="O6" s="62" t="str">
        <x:v>Never delay urgent assessment; medication content must come from the user's clinician</x:v>
      </x:c>
      <x:c r="P6" s="62" t="str">
        <x:v>https://www.nice.org.uk/guidance/ng193/chapter/recommendations</x:v>
      </x:c>
      <x:c r="Q6" s="89" t="n">
        <x:v>46254</x:v>
      </x:c>
    </x:row>
    <x:row r="7" ht="78" customHeight="1">
      <x:c r="A7" s="62" t="str">
        <x:v>I03</x:v>
      </x:c>
      <x:c r="B7" s="62" t="str">
        <x:v>Acceptance and Commitment Therapy (ACT)</x:v>
      </x:c>
      <x:c r="C7" s="62" t="str">
        <x:v>Psychological therapy</x:v>
      </x:c>
      <x:c r="D7" s="62" t="str">
        <x:v>Structured 8-12 week path: values, acceptance, defusion, present-moment skills, self-as-context, and committed action; brief practice most days</x:v>
      </x:c>
      <x:c r="E7" s="62" t="str">
        <x:v>NICE recommendation and a 2024 phase 3 digital fibromyalgia trial</x:v>
      </x:c>
      <x:c r="F7" s="62" t="str">
        <x:v>A</x:v>
      </x:c>
      <x:c r="G7" s="85" t="n">
        <x:v>5</x:v>
      </x:c>
      <x:c r="H7" s="85" t="n">
        <x:v>5</x:v>
      </x:c>
      <x:c r="I7" s="85" t="n">
        <x:v>4</x:v>
      </x:c>
      <x:c r="J7" s="85" t="n">
        <x:v>3</x:v>
      </x:c>
      <x:c r="K7" s="85" t="n">
        <x:v>4</x:v>
      </x:c>
      <x:c r="L7" s="87" t="n">
        <x:f>ROUND(G7*'Scorecard'!$B$5+H7*'Scorecard'!$B$6+I7*'Scorecard'!$B$7+J7*'Scorecard'!$B$8+K7*'Scorecard'!$B$9,2)</x:f>
        <x:v>4.45</x:v>
      </x:c>
      <x:c r="M7" s="62" t="str">
        <x:f>IF(L7&gt;='Scorecard'!$E$5,"Build now",IF(L7&gt;='Scorecard'!$E$6,"Research next","Later"))</x:f>
        <x:v>Build now</x:v>
      </x:c>
      <x:c r="N7" s="62" t="str">
        <x:v>Guided ACT micro-course with values-based actions</x:v>
      </x:c>
      <x:c r="O7" s="62" t="str">
        <x:v>Requires clinically faithful content and clear scope; PROSPER-FM was fibromyalgia-specific and industry funded</x:v>
      </x:c>
      <x:c r="P7" s="62" t="str">
        <x:v>https://pubmed.ncbi.nlm.nih.gov/38991582/</x:v>
      </x:c>
      <x:c r="Q7" s="89" t="n">
        <x:v>46254</x:v>
      </x:c>
    </x:row>
    <x:row r="8" ht="78" customHeight="1">
      <x:c r="A8" s="62" t="str">
        <x:v>I04</x:v>
      </x:c>
      <x:c r="B8" s="62" t="str">
        <x:v>Relaxation and paced breathing</x:v>
      </x:c>
      <x:c r="C8" s="62" t="str">
        <x:v>Nervous-system regulation</x:v>
      </x:c>
      <x:c r="D8" s="62" t="str">
        <x:v>Offer 3-10 minute down-regulation practices with user choice; emphasize comfort and function rather than promising pain elimination</x:v>
      </x:c>
      <x:c r="E8" s="62" t="str">
        <x:v>Common component of psychological pain programs; direct effects vary</x:v>
      </x:c>
      <x:c r="F8" s="62" t="str">
        <x:v>B</x:v>
      </x:c>
      <x:c r="G8" s="85" t="n">
        <x:v>3</x:v>
      </x:c>
      <x:c r="H8" s="85" t="n">
        <x:v>5</x:v>
      </x:c>
      <x:c r="I8" s="85" t="n">
        <x:v>5</x:v>
      </x:c>
      <x:c r="J8" s="85" t="n">
        <x:v>5</x:v>
      </x:c>
      <x:c r="K8" s="85" t="n">
        <x:v>5</x:v>
      </x:c>
      <x:c r="L8" s="87" t="n">
        <x:f>ROUND(G8*'Scorecard'!$B$5+H8*'Scorecard'!$B$6+I8*'Scorecard'!$B$7+J8*'Scorecard'!$B$8+K8*'Scorecard'!$B$9,2)</x:f>
        <x:v>4.4</x:v>
      </x:c>
      <x:c r="M8" s="62" t="str">
        <x:f>IF(L8&gt;='Scorecard'!$E$5,"Build now",IF(L8&gt;='Scorecard'!$E$6,"Research next","Later"))</x:f>
        <x:v>Build now</x:v>
      </x:c>
      <x:c r="N8" s="62" t="str">
        <x:v>Flare support and short daily reset</x:v>
      </x:c>
      <x:c r="O8" s="62" t="str">
        <x:v>Stop or modify if breath focus increases panic, dizziness, or discomfort</x:v>
      </x:c>
      <x:c r="P8" s="62" t="str">
        <x:v>https://www.nice.org.uk/guidance/ng193/chapter/recommendations</x:v>
      </x:c>
      <x:c r="Q8" s="89" t="n">
        <x:v>46254</x:v>
      </x:c>
    </x:row>
    <x:row r="9" ht="78" customHeight="1">
      <x:c r="A9" s="62" t="str">
        <x:v>I05</x:v>
      </x:c>
      <x:c r="B9" s="62" t="str">
        <x:v>Mindfulness-based practice</x:v>
      </x:c>
      <x:c r="C9" s="62" t="str">
        <x:v>Psychological skill</x:v>
      </x:c>
      <x:c r="D9" s="62" t="str">
        <x:v>Start with 3-5 minutes, expand gradually, offer eyes-open and movement-based options, and track helpfulness rather than completion alone</x:v>
      </x:c>
      <x:c r="E9" s="62" t="str">
        <x:v>Systematic review found small pain improvements with low-quality evidence plus benefits for depression and quality of life</x:v>
      </x:c>
      <x:c r="F9" s="62" t="str">
        <x:v>B</x:v>
      </x:c>
      <x:c r="G9" s="85" t="n">
        <x:v>3</x:v>
      </x:c>
      <x:c r="H9" s="85" t="n">
        <x:v>4</x:v>
      </x:c>
      <x:c r="I9" s="85" t="n">
        <x:v>5</x:v>
      </x:c>
      <x:c r="J9" s="85" t="n">
        <x:v>5</x:v>
      </x:c>
      <x:c r="K9" s="85" t="n">
        <x:v>5</x:v>
      </x:c>
      <x:c r="L9" s="87" t="n">
        <x:f>ROUND(G9*'Scorecard'!$B$5+H9*'Scorecard'!$B$6+I9*'Scorecard'!$B$7+J9*'Scorecard'!$B$8+K9*'Scorecard'!$B$9,2)</x:f>
        <x:v>4.15</x:v>
      </x:c>
      <x:c r="M9" s="62" t="str">
        <x:f>IF(L9&gt;='Scorecard'!$E$5,"Build now",IF(L9&gt;='Scorecard'!$E$6,"Research next","Later"))</x:f>
        <x:v>Research next</x:v>
      </x:c>
      <x:c r="N9" s="62" t="str">
        <x:v>Choice-based audio practices and mindful activity</x:v>
      </x:c>
      <x:c r="O9" s="62" t="str">
        <x:v>Not universally calming; trauma-sensitive options and opt-outs matter</x:v>
      </x:c>
      <x:c r="P9" s="62" t="str">
        <x:v>https://pubmed.ncbi.nlm.nih.gov/27658913/</x:v>
      </x:c>
      <x:c r="Q9" s="89" t="n">
        <x:v>46254</x:v>
      </x:c>
    </x:row>
    <x:row r="10" ht="78" customHeight="1">
      <x:c r="A10" s="62" t="str">
        <x:v>I06</x:v>
      </x:c>
      <x:c r="B10" s="62" t="str">
        <x:v>Graded physical activity or exercise</x:v>
      </x:c>
      <x:c r="C10" s="62" t="str">
        <x:v>Physical rehabilitation</x:v>
      </x:c>
      <x:c r="D10" s="62" t="str">
        <x:v>Establish a tolerable baseline, repeat consistently, and increase one variable in small steps; use condition-specific clinical advice where needed</x:v>
      </x:c>
      <x:c r="E10" s="62" t="str">
        <x:v>NICE recommends supervised group exercise for chronic primary pain</x:v>
      </x:c>
      <x:c r="F10" s="62" t="str">
        <x:v>A</x:v>
      </x:c>
      <x:c r="G10" s="85" t="n">
        <x:v>5</x:v>
      </x:c>
      <x:c r="H10" s="85" t="n">
        <x:v>5</x:v>
      </x:c>
      <x:c r="I10" s="85" t="n">
        <x:v>3</x:v>
      </x:c>
      <x:c r="J10" s="85" t="n">
        <x:v>3</x:v>
      </x:c>
      <x:c r="K10" s="85" t="n">
        <x:v>4</x:v>
      </x:c>
      <x:c r="L10" s="87" t="n">
        <x:f>ROUND(G10*'Scorecard'!$B$5+H10*'Scorecard'!$B$6+I10*'Scorecard'!$B$7+J10*'Scorecard'!$B$8+K10*'Scorecard'!$B$9,2)</x:f>
        <x:v>4.3</x:v>
      </x:c>
      <x:c r="M10" s="62" t="str">
        <x:f>IF(L10&gt;='Scorecard'!$E$5,"Build now",IF(L10&gt;='Scorecard'!$E$6,"Research next","Later"))</x:f>
        <x:v>Build now</x:v>
      </x:c>
      <x:c r="N10" s="62" t="str">
        <x:v>Adaptive activity plan based on function and recovery</x:v>
      </x:c>
      <x:c r="O10" s="62" t="str">
        <x:v>Screen red flags and avoid generic progression for acute injury, neurological signs, unstable disease, or post-exertional symptom exacerbation</x:v>
      </x:c>
      <x:c r="P10" s="62" t="str">
        <x:v>https://www.nice.org.uk/guidance/ng193/chapter/recommendations</x:v>
      </x:c>
      <x:c r="Q10" s="89" t="n">
        <x:v>46254</x:v>
      </x:c>
    </x:row>
    <x:row r="11" ht="78" customHeight="1">
      <x:c r="A11" s="62" t="str">
        <x:v>I07</x:v>
      </x:c>
      <x:c r="B11" s="62" t="str">
        <x:v>Cognitive Behavioral Therapy for pain</x:v>
      </x:c>
      <x:c r="C11" s="62" t="str">
        <x:v>Psychological therapy</x:v>
      </x:c>
      <x:c r="D11" s="62" t="str">
        <x:v>Structured modules on pain-related thoughts, behavior, coping, problem solving, attention, sleep, and relapse prevention; typically 6-12 sessions</x:v>
      </x:c>
      <x:c r="E11" s="62" t="str">
        <x:v>Cochrane review: small or very small benefits for pain, disability, and distress</x:v>
      </x:c>
      <x:c r="F11" s="62" t="str">
        <x:v>A</x:v>
      </x:c>
      <x:c r="G11" s="85" t="n">
        <x:v>5</x:v>
      </x:c>
      <x:c r="H11" s="85" t="n">
        <x:v>4</x:v>
      </x:c>
      <x:c r="I11" s="85" t="n">
        <x:v>3</x:v>
      </x:c>
      <x:c r="J11" s="85" t="n">
        <x:v>3</x:v>
      </x:c>
      <x:c r="K11" s="85" t="n">
        <x:v>4</x:v>
      </x:c>
      <x:c r="L11" s="87" t="n">
        <x:f>ROUND(G11*'Scorecard'!$B$5+H11*'Scorecard'!$B$6+I11*'Scorecard'!$B$7+J11*'Scorecard'!$B$8+K11*'Scorecard'!$B$9,2)</x:f>
        <x:v>4.05</x:v>
      </x:c>
      <x:c r="M11" s="62" t="str">
        <x:f>IF(L11&gt;='Scorecard'!$E$5,"Build now",IF(L11&gt;='Scorecard'!$E$6,"Research next","Later"))</x:f>
        <x:v>Research next</x:v>
      </x:c>
      <x:c r="N11" s="62" t="str">
        <x:v>Short CBT skills path and guided reflection</x:v>
      </x:c>
      <x:c r="O11" s="62" t="str">
        <x:v>Do not imply that pain is imagined; effects are generally modest and adherence matters</x:v>
      </x:c>
      <x:c r="P11" s="62" t="str">
        <x:v>https://pubmed.ncbi.nlm.nih.gov/32794606/</x:v>
      </x:c>
      <x:c r="Q11" s="89" t="n">
        <x:v>46254</x:v>
      </x:c>
    </x:row>
    <x:row r="12" ht="78" customHeight="1">
      <x:c r="A12" s="62" t="str">
        <x:v>I08</x:v>
      </x:c>
      <x:c r="B12" s="62" t="str">
        <x:v>Pain neuroscience education (PNE)</x:v>
      </x:c>
      <x:c r="C12" s="62" t="str">
        <x:v>Education</x:v>
      </x:c>
      <x:c r="D12" s="62" t="str">
        <x:v>Short plain-language lessons on pain as a protective experience, paired with active strategies such as movement, sleep, and graded exposure</x:v>
      </x:c>
      <x:c r="E12" s="62" t="str">
        <x:v>Umbrella and systematic reviews show benefits, especially when combined with active care, but delivery evidence is heterogeneous</x:v>
      </x:c>
      <x:c r="F12" s="62" t="str">
        <x:v>B</x:v>
      </x:c>
      <x:c r="G12" s="85" t="n">
        <x:v>4</x:v>
      </x:c>
      <x:c r="H12" s="85" t="n">
        <x:v>4</x:v>
      </x:c>
      <x:c r="I12" s="85" t="n">
        <x:v>4</x:v>
      </x:c>
      <x:c r="J12" s="85" t="n">
        <x:v>4</x:v>
      </x:c>
      <x:c r="K12" s="85" t="n">
        <x:v>4</x:v>
      </x:c>
      <x:c r="L12" s="87" t="n">
        <x:f>ROUND(G12*'Scorecard'!$B$5+H12*'Scorecard'!$B$6+I12*'Scorecard'!$B$7+J12*'Scorecard'!$B$8+K12*'Scorecard'!$B$9,2)</x:f>
        <x:v>4</x:v>
      </x:c>
      <x:c r="M12" s="62" t="str">
        <x:f>IF(L12&gt;='Scorecard'!$E$5,"Build now",IF(L12&gt;='Scorecard'!$E$6,"Research next","Later"))</x:f>
        <x:v>Research next</x:v>
      </x:c>
      <x:c r="N12" s="62" t="str">
        <x:v>Progressive pain-science curriculum tied to actions</x:v>
      </x:c>
      <x:c r="O12" s="62" t="str">
        <x:v>Avoid reductive 'your brain creates it' messaging and do not use PNE to dismiss structural or inflammatory contributors</x:v>
      </x:c>
      <x:c r="P12" s="62" t="str">
        <x:v>https://pubmed.ncbi.nlm.nih.gov/38075271/</x:v>
      </x:c>
      <x:c r="Q12" s="89" t="n">
        <x:v>46254</x:v>
      </x:c>
    </x:row>
    <x:row r="13" ht="78" customHeight="1">
      <x:c r="A13" s="62" t="str">
        <x:v>I09</x:v>
      </x:c>
      <x:c r="B13" s="62" t="str">
        <x:v>Activity pacing</x:v>
      </x:c>
      <x:c r="C13" s="62" t="str">
        <x:v>Behavioral self-management</x:v>
      </x:c>
      <x:c r="D13" s="62" t="str">
        <x:v>Plan activity by time or quota, alternate task types, and gradually expand capacity; avoid stopping solely when pain rises and avoid rigid under-activity</x:v>
      </x:c>
      <x:c r="E13" s="62" t="str">
        <x:v>Reviews show inconsistent definitions and mixed effects; better support for balancing function than for reducing pain</x:v>
      </x:c>
      <x:c r="F13" s="62" t="str">
        <x:v>B</x:v>
      </x:c>
      <x:c r="G13" s="85" t="n">
        <x:v>3</x:v>
      </x:c>
      <x:c r="H13" s="85" t="n">
        <x:v>5</x:v>
      </x:c>
      <x:c r="I13" s="85" t="n">
        <x:v>4</x:v>
      </x:c>
      <x:c r="J13" s="85" t="n">
        <x:v>4</x:v>
      </x:c>
      <x:c r="K13" s="85" t="n">
        <x:v>4</x:v>
      </x:c>
      <x:c r="L13" s="87" t="n">
        <x:f>ROUND(G13*'Scorecard'!$B$5+H13*'Scorecard'!$B$6+I13*'Scorecard'!$B$7+J13*'Scorecard'!$B$8+K13*'Scorecard'!$B$9,2)</x:f>
        <x:v>3.95</x:v>
      </x:c>
      <x:c r="M13" s="62" t="str">
        <x:f>IF(L13&gt;='Scorecard'!$E$5,"Build now",IF(L13&gt;='Scorecard'!$E$6,"Research next","Later"))</x:f>
        <x:v>Research next</x:v>
      </x:c>
      <x:c r="N13" s="62" t="str">
        <x:v>Boom-bust detector and adjustable activity plan</x:v>
      </x:c>
      <x:c r="O13" s="62" t="str">
        <x:v>Pacing can become avoidance. Product language should support sustainable engagement, not permanent restriction</x:v>
      </x:c>
      <x:c r="P13" s="62" t="str">
        <x:v>https://pubmed.ncbi.nlm.nih.gov/36345726/</x:v>
      </x:c>
      <x:c r="Q13" s="89" t="n">
        <x:v>46254</x:v>
      </x:c>
    </x:row>
    <x:row r="14" ht="78" customHeight="1">
      <x:c r="A14" s="62" t="str">
        <x:v>I10</x:v>
      </x:c>
      <x:c r="B14" s="62" t="str">
        <x:v>Single-variable behavioral experiments</x:v>
      </x:c>
      <x:c r="C14" s="62" t="str">
        <x:v>Personalization</x:v>
      </x:c>
      <x:c r="D14" s="62" t="str">
        <x:v>Choose one low-risk change, define outcome and duration, hold other factors as steady as practical, review after 1-2 weeks, and label the result as provisional</x:v>
      </x:c>
      <x:c r="E14" s="62" t="str">
        <x:v>N-of-1 product method supported indirectly by self-management and intensive longitudinal research</x:v>
      </x:c>
      <x:c r="F14" s="62" t="str">
        <x:v>C</x:v>
      </x:c>
      <x:c r="G14" s="85" t="n">
        <x:v>3</x:v>
      </x:c>
      <x:c r="H14" s="85" t="n">
        <x:v>5</x:v>
      </x:c>
      <x:c r="I14" s="85" t="n">
        <x:v>4</x:v>
      </x:c>
      <x:c r="J14" s="85" t="n">
        <x:v>4</x:v>
      </x:c>
      <x:c r="K14" s="85" t="n">
        <x:v>4</x:v>
      </x:c>
      <x:c r="L14" s="87" t="n">
        <x:f>ROUND(G14*'Scorecard'!$B$5+H14*'Scorecard'!$B$6+I14*'Scorecard'!$B$7+J14*'Scorecard'!$B$8+K14*'Scorecard'!$B$9,2)</x:f>
        <x:v>3.95</x:v>
      </x:c>
      <x:c r="M14" s="62" t="str">
        <x:f>IF(L14&gt;='Scorecard'!$E$5,"Build now",IF(L14&gt;='Scorecard'!$E$6,"Research next","Later"))</x:f>
        <x:v>Research next</x:v>
      </x:c>
      <x:c r="N14" s="62" t="str">
        <x:v>Guided experiments with uncertainty labels</x:v>
      </x:c>
      <x:c r="O14" s="62" t="str">
        <x:v>Regression to the mean, co-occurring changes, and expectation effects can mimic benefit; no medical experiments without clinicians</x:v>
      </x:c>
      <x:c r="P14" s="62" t="str">
        <x:v>https://pmc.ncbi.nlm.nih.gov/articles/PMC9668017/</x:v>
      </x:c>
      <x:c r="Q14" s="89" t="n">
        <x:v>46254</x:v>
      </x:c>
    </x:row>
    <x:row r="15" ht="78" customHeight="1">
      <x:c r="A15" s="62" t="str">
        <x:v>I11</x:v>
      </x:c>
      <x:c r="B15" s="62" t="str">
        <x:v>Multidisciplinary care navigation</x:v>
      </x:c>
      <x:c r="C15" s="62" t="str">
        <x:v>Care coordination</x:v>
      </x:c>
      <x:c r="D15" s="62" t="str">
        <x:v>Identify needs across medicine, physiotherapy, psychology, sleep, and social support; help prepare questions and route care rather than diagnose</x:v>
      </x:c>
      <x:c r="E15" s="62" t="str">
        <x:v>Multidisciplinary biopsychosocial rehabilitation has modest benefits for pain and disability in chronic low back pain</x:v>
      </x:c>
      <x:c r="F15" s="62" t="str">
        <x:v>A</x:v>
      </x:c>
      <x:c r="G15" s="85" t="n">
        <x:v>4</x:v>
      </x:c>
      <x:c r="H15" s="85" t="n">
        <x:v>4</x:v>
      </x:c>
      <x:c r="I15" s="85" t="n">
        <x:v>4</x:v>
      </x:c>
      <x:c r="J15" s="85" t="n">
        <x:v>3</x:v>
      </x:c>
      <x:c r="K15" s="85" t="n">
        <x:v>5</x:v>
      </x:c>
      <x:c r="L15" s="87" t="n">
        <x:f>ROUND(G15*'Scorecard'!$B$5+H15*'Scorecard'!$B$6+I15*'Scorecard'!$B$7+J15*'Scorecard'!$B$8+K15*'Scorecard'!$B$9,2)</x:f>
        <x:v>4.1</x:v>
      </x:c>
      <x:c r="M15" s="62" t="str">
        <x:f>IF(L15&gt;='Scorecard'!$E$5,"Build now",IF(L15&gt;='Scorecard'!$E$6,"Research next","Later"))</x:f>
        <x:v>Research next</x:v>
      </x:c>
      <x:c r="N15" s="62" t="str">
        <x:v>Appointment preparation, report export, and referral prompts</x:v>
      </x:c>
      <x:c r="O15" s="62" t="str">
        <x:v>Availability varies by country; recommendations must respect scope and local care pathways</x:v>
      </x:c>
      <x:c r="P15" s="62" t="str">
        <x:v>https://pubmed.ncbi.nlm.nih.gov/25180773/</x:v>
      </x:c>
      <x:c r="Q15" s="89" t="n">
        <x:v>46254</x:v>
      </x:c>
    </x:row>
    <x:row r="16" ht="78" customHeight="1">
      <x:c r="A16" s="62" t="str">
        <x:v>I12</x:v>
      </x:c>
      <x:c r="B16" s="62" t="str">
        <x:v>Medication and treatment adherence support</x:v>
      </x:c>
      <x:c r="C16" s="62" t="str">
        <x:v>Care support</x:v>
      </x:c>
      <x:c r="D16" s="62" t="str">
        <x:v>Reminders, user-entered schedule, adherence log, side-effect notes, and clinician-ready report; no dose optimization by the app</x:v>
      </x:c>
      <x:c r="E16" s="62" t="str">
        <x:v>Adherence support is clinically familiar, but medication guidance creates regulatory and safety obligations</x:v>
      </x:c>
      <x:c r="F16" s="62" t="str">
        <x:v>B</x:v>
      </x:c>
      <x:c r="G16" s="85" t="n">
        <x:v>4</x:v>
      </x:c>
      <x:c r="H16" s="85" t="n">
        <x:v>3</x:v>
      </x:c>
      <x:c r="I16" s="85" t="n">
        <x:v>4</x:v>
      </x:c>
      <x:c r="J16" s="85" t="n">
        <x:v>4</x:v>
      </x:c>
      <x:c r="K16" s="85" t="n">
        <x:v>3</x:v>
      </x:c>
      <x:c r="L16" s="87" t="n">
        <x:f>ROUND(G16*'Scorecard'!$B$5+H16*'Scorecard'!$B$6+I16*'Scorecard'!$B$7+J16*'Scorecard'!$B$8+K16*'Scorecard'!$B$9,2)</x:f>
        <x:v>3.55</x:v>
      </x:c>
      <x:c r="M16" s="62" t="str">
        <x:f>IF(L16&gt;='Scorecard'!$E$5,"Build now",IF(L16&gt;='Scorecard'!$E$6,"Research next","Later"))</x:f>
        <x:v>Research next</x:v>
      </x:c>
      <x:c r="N16" s="62" t="str">
        <x:v>Neutral treatment log and reminders</x:v>
      </x:c>
      <x:c r="O16" s="62" t="str">
        <x:v>Never recommend starting, stopping, tapering, or changing dose; urgent adverse effects need escalation</x:v>
      </x:c>
      <x:c r="P16" s="62" t="str">
        <x:v>https://www.nice.org.uk/guidance/ng193/chapter/recommendations</x:v>
      </x:c>
      <x:c r="Q16" s="89" t="n">
        <x:v>46254</x:v>
      </x:c>
    </x:row>
    <x:row r="17" ht="78" customHeight="1">
      <x:c r="A17" s="62" t="str">
        <x:v>I13</x:v>
      </x:c>
      <x:c r="B17" s="62" t="str">
        <x:v>CBT for insomnia (CBT-I)</x:v>
      </x:c>
      <x:c r="C17" s="62" t="str">
        <x:v>Sleep therapy</x:v>
      </x:c>
      <x:c r="D17" s="62" t="str">
        <x:v>Only for users with clinically relevant insomnia: structured stimulus control, sleep scheduling, cognitive work, and sleep hygiene over several weeks</x:v>
      </x:c>
      <x:c r="E17" s="62" t="str">
        <x:v>Meta-analysis in chronic pain found strong sleep benefit and small pain benefit; later reviews find sleep benefit more consistently than pain benefit</x:v>
      </x:c>
      <x:c r="F17" s="62" t="str">
        <x:v>A</x:v>
      </x:c>
      <x:c r="G17" s="85" t="n">
        <x:v>5</x:v>
      </x:c>
      <x:c r="H17" s="85" t="n">
        <x:v>3</x:v>
      </x:c>
      <x:c r="I17" s="85" t="n">
        <x:v>2</x:v>
      </x:c>
      <x:c r="J17" s="85" t="n">
        <x:v>2</x:v>
      </x:c>
      <x:c r="K17" s="85" t="n">
        <x:v>3</x:v>
      </x:c>
      <x:c r="L17" s="87" t="n">
        <x:f>ROUND(G17*'Scorecard'!$B$5+H17*'Scorecard'!$B$6+I17*'Scorecard'!$B$7+J17*'Scorecard'!$B$8+K17*'Scorecard'!$B$9,2)</x:f>
        <x:v>3.35</x:v>
      </x:c>
      <x:c r="M17" s="62" t="str">
        <x:f>IF(L17&gt;='Scorecard'!$E$5,"Build now",IF(L17&gt;='Scorecard'!$E$6,"Research next","Later"))</x:f>
        <x:v>Later</x:v>
      </x:c>
      <x:c r="N17" s="62" t="str">
        <x:v>Screen and refer first; a partner-led module later</x:v>
      </x:c>
      <x:c r="O17" s="62" t="str">
        <x:v>Sleep restriction components need screening and clinical governance; wearable sleep stages should not drive the protocol</x:v>
      </x:c>
      <x:c r="P17" s="62" t="str">
        <x:v>https://pubmed.ncbi.nlm.nih.gov/33610967/</x:v>
      </x:c>
      <x:c r="Q17" s="89" t="n">
        <x:v>46254</x:v>
      </x:c>
    </x:row>
    <x:row r="18" ht="78" customHeight="1">
      <x:c r="A18" s="62" t="str">
        <x:v>I14</x:v>
      </x:c>
      <x:c r="B18" s="62" t="str">
        <x:v>Graded exposure to feared movement</x:v>
      </x:c>
      <x:c r="C18" s="62" t="str">
        <x:v>Behavioral rehabilitation</x:v>
      </x:c>
      <x:c r="D18" s="62" t="str">
        <x:v>Build a hierarchy of feared but medically safe activities; repeat from easier to harder while tracking confidence and function</x:v>
      </x:c>
      <x:c r="E18" s="62" t="str">
        <x:v>Supported within cognitive-behavioral and rehabilitation approaches, but requires appropriate assessment</x:v>
      </x:c>
      <x:c r="F18" s="62" t="str">
        <x:v>B</x:v>
      </x:c>
      <x:c r="G18" s="85" t="n">
        <x:v>4</x:v>
      </x:c>
      <x:c r="H18" s="85" t="n">
        <x:v>4</x:v>
      </x:c>
      <x:c r="I18" s="85" t="n">
        <x:v>3</x:v>
      </x:c>
      <x:c r="J18" s="85" t="n">
        <x:v>2</x:v>
      </x:c>
      <x:c r="K18" s="85" t="n">
        <x:v>3</x:v>
      </x:c>
      <x:c r="L18" s="87" t="n">
        <x:f>ROUND(G18*'Scorecard'!$B$5+H18*'Scorecard'!$B$6+I18*'Scorecard'!$B$7+J18*'Scorecard'!$B$8+K18*'Scorecard'!$B$9,2)</x:f>
        <x:v>3.45</x:v>
      </x:c>
      <x:c r="M18" s="62" t="str">
        <x:f>IF(L18&gt;='Scorecard'!$E$5,"Build now",IF(L18&gt;='Scorecard'!$E$6,"Research next","Later"))</x:f>
        <x:v>Later</x:v>
      </x:c>
      <x:c r="N18" s="62" t="str">
        <x:v>Clinician-supported exposure ladder</x:v>
      </x:c>
      <x:c r="O18" s="62" t="str">
        <x:v>Unsafe without ruling out contraindications; distinguish fear-based avoidance from valid protection</x:v>
      </x:c>
      <x:c r="P18" s="62" t="str">
        <x:v>https://pubmed.ncbi.nlm.nih.gov/25180773/</x:v>
      </x:c>
      <x:c r="Q18" s="89" t="n">
        <x:v>46254</x:v>
      </x:c>
    </x:row>
    <x:row r="19" ht="78" customHeight="1">
      <x:c r="A19" s="62" t="str">
        <x:v>I15</x:v>
      </x:c>
      <x:c r="B19" s="62" t="str">
        <x:v>Pain Reprocessing Therapy (PRT)</x:v>
      </x:c>
      <x:c r="C19" s="62" t="str">
        <x:v>Emerging psychological therapy</x:v>
      </x:c>
      <x:c r="D19" s="62" t="str">
        <x:v>Education plus reappraisal and exposure techniques intended to reduce threat appraisal; studied as a structured therapist-led program</x:v>
      </x:c>
      <x:c r="E19" s="62" t="str">
        <x:v>Promising single-condition randomized trial evidence, not yet a universal chronic-pain protocol</x:v>
      </x:c>
      <x:c r="F19" s="62" t="str">
        <x:v>B</x:v>
      </x:c>
      <x:c r="G19" s="85" t="n">
        <x:v>3</x:v>
      </x:c>
      <x:c r="H19" s="85" t="n">
        <x:v>3</x:v>
      </x:c>
      <x:c r="I19" s="85" t="n">
        <x:v>3</x:v>
      </x:c>
      <x:c r="J19" s="85" t="n">
        <x:v>2</x:v>
      </x:c>
      <x:c r="K19" s="85" t="n">
        <x:v>3</x:v>
      </x:c>
      <x:c r="L19" s="87" t="n">
        <x:f>ROUND(G19*'Scorecard'!$B$5+H19*'Scorecard'!$B$6+I19*'Scorecard'!$B$7+J19*'Scorecard'!$B$8+K19*'Scorecard'!$B$9,2)</x:f>
        <x:v>2.9</x:v>
      </x:c>
      <x:c r="M19" s="62" t="str">
        <x:f>IF(L19&gt;='Scorecard'!$E$5,"Build now",IF(L19&gt;='Scorecard'!$E$6,"Research next","Later"))</x:f>
        <x:v>Later</x:v>
      </x:c>
      <x:c r="N19" s="62" t="str">
        <x:v>Research track only, with expert clinical partnership</x:v>
      </x:c>
      <x:c r="O19" s="62" t="str">
        <x:v>Risk of overgeneralizing 'primary' or nociplastic pain and invalidating ongoing pathology; participant selection is crucial</x:v>
      </x:c>
      <x:c r="P19" s="62" t="str">
        <x:v>https://pubmed.ncbi.nlm.nih.gov/34586357/</x:v>
      </x:c>
      <x:c r="Q19" s="89" t="n">
        <x:v>46254</x:v>
      </x:c>
    </x:row>
  </x:sheetData>
  <x:mergeCells>
    <x:mergeCell ref="A1:Q1"/>
    <x:mergeCell ref="A2:Q2"/>
  </x:mergeCells>
  <x:conditionalFormatting sqref="L5:L19">
    <x:cfRule type="colorScale" priority="1">
      <x:colorScale>
        <x:cfvo type="min"/>
        <x:cfvo type="percentile" val="50"/>
        <x:cfvo type="max"/>
        <x:color rgb="FFFDE8E7"/>
        <x:color rgb="FFFFF3C4"/>
        <x:color rgb="FFDDF4EA"/>
      </x:colorScale>
    </x:cfRule>
  </x:conditionalFormatting>
  <x:conditionalFormatting sqref="M5:M19">
    <x:cfRule type="containsText" dxfId="5" priority="2" operator="containsText" text="Build now"/>
    <x:cfRule type="containsText" dxfId="6" priority="3" operator="containsText" text="Research next"/>
    <x:cfRule type="containsText" dxfId="7" priority="4" operator="containsText" text="License first"/>
    <x:cfRule type="containsText" dxfId="8" priority="5" operator="containsText" text="Verify rights"/>
    <x:cfRule type="containsText" dxfId="9" priority="6" operator="containsText" text="Later"/>
  </x:conditionalFormatting>
  <x:dataValidations count="1">
    <x:dataValidation type="whole" operator="between" sqref="G5:K19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5727f62ca6b41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6" hidden="0" customWidth="1"/>
    <x:col min="4" max="4" width="15" hidden="0" customWidth="1"/>
    <x:col min="5" max="5" width="14" hidden="0" customWidth="1"/>
    <x:col min="6" max="6" width="17" hidden="0" customWidth="1"/>
    <x:col min="7" max="7" width="17" hidden="0" customWidth="1"/>
    <x:col min="8" max="8" width="24" hidden="0" customWidth="1"/>
    <x:col min="9" max="9" width="24" hidden="0" customWidth="1"/>
    <x:col min="10" max="10" width="15" hidden="0" customWidth="1"/>
    <x:col min="11" max="11" width="42" hidden="0" customWidth="1"/>
    <x:col min="12" max="12" width="50" hidden="0" customWidth="1"/>
    <x:col min="13" max="13" width="50" hidden="0" customWidth="1"/>
    <x:col min="14" max="14" width="54" hidden="0" customWidth="1"/>
    <x:col min="15" max="15" width="13" hidden="0" customWidth="1"/>
  </x:cols>
  <x:sheetData>
    <x:row r="1" ht="34" customHeight="1">
      <x:c r="A1" s="3" t="str">
        <x:v>Product landscape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Feature claims are taken from official product pages where possible. Numeric scores are comparative product judgments, not clinical-efficacy ratings.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3" t="str">
        <x:v>Product</x:v>
      </x:c>
      <x:c r="B4" s="28" t="str">
        <x:v>Positioning</x:v>
      </x:c>
      <x:c r="C4" s="28" t="str">
        <x:v>Low-friction tracking</x:v>
      </x:c>
      <x:c r="D4" s="28" t="str">
        <x:v>Personalization</x:v>
      </x:c>
      <x:c r="E4" s="28" t="str">
        <x:v>Insight rigor</x:v>
      </x:c>
      <x:c r="F4" s="28" t="str">
        <x:v>Intervention depth</x:v>
      </x:c>
      <x:c r="G4" s="28" t="str">
        <x:v>Clinician sharing</x:v>
      </x:c>
      <x:c r="H4" s="28" t="str">
        <x:v>Wearables</x:v>
      </x:c>
      <x:c r="I4" s="28" t="str">
        <x:v>Business model</x:v>
      </x:c>
      <x:c r="J4" s="28" t="str">
        <x:v>Benchmark score</x:v>
      </x:c>
      <x:c r="K4" s="28" t="str">
        <x:v>Key strength</x:v>
      </x:c>
      <x:c r="L4" s="28" t="str">
        <x:v>Key weakness</x:v>
      </x:c>
      <x:c r="M4" s="28" t="str">
        <x:v>Pattern lesson</x:v>
      </x:c>
      <x:c r="N4" s="28" t="str">
        <x:v>Source URL</x:v>
      </x:c>
      <x:c r="O4" s="14" t="str">
        <x:v>Last checked</x:v>
      </x:c>
    </x:row>
    <x:row r="5" ht="72" customHeight="1">
      <x:c r="A5" s="58" t="str">
        <x:v>Manage My Pain</x:v>
      </x:c>
      <x:c r="B5" s="58" t="str">
        <x:v>Pain-first tracking and clinician reporting</x:v>
      </x:c>
      <x:c r="C5" s="84" t="n">
        <x:v>5</x:v>
      </x:c>
      <x:c r="D5" s="84" t="n">
        <x:v>4</x:v>
      </x:c>
      <x:c r="E5" s="84" t="n">
        <x:v>3</x:v>
      </x:c>
      <x:c r="F5" s="84" t="n">
        <x:v>2</x:v>
      </x:c>
      <x:c r="G5" s="84" t="n">
        <x:v>5</x:v>
      </x:c>
      <x:c r="H5" s="58" t="str">
        <x:v>Not prominent</x:v>
      </x:c>
      <x:c r="I5" s="58" t="str">
        <x:v>Freemium / reports and content</x:v>
      </x:c>
      <x:c r="J5" s="90" t="n">
        <x:f>ROUND(AVERAGE(C5:G5),1)</x:f>
        <x:v>3.8</x:v>
      </x:c>
      <x:c r="K5" s="58" t="str">
        <x:v>Fast structured log and strong clinician-facing reports</x:v>
      </x:c>
      <x:c r="L5" s="58" t="str">
        <x:v>Pattern and trigger language can overstate what simple trends prove</x:v>
      </x:c>
      <x:c r="M5" s="58" t="str">
        <x:v>Match reporting quality, then add function-first guidance and explicit uncertainty</x:v>
      </x:c>
      <x:c r="N5" s="58" t="str">
        <x:v>https://managemypainapp.com/</x:v>
      </x:c>
      <x:c r="O5" s="88" t="n">
        <x:v>46254</x:v>
      </x:c>
    </x:row>
    <x:row r="6" ht="72" customHeight="1">
      <x:c r="A6" s="62" t="str">
        <x:v>Bearable</x:v>
      </x:c>
      <x:c r="B6" s="62" t="str">
        <x:v>Highly customizable symptom and factor tracker</x:v>
      </x:c>
      <x:c r="C6" s="85" t="n">
        <x:v>4</x:v>
      </x:c>
      <x:c r="D6" s="85" t="n">
        <x:v>5</x:v>
      </x:c>
      <x:c r="E6" s="85" t="n">
        <x:v>3</x:v>
      </x:c>
      <x:c r="F6" s="85" t="n">
        <x:v>1</x:v>
      </x:c>
      <x:c r="G6" s="85" t="n">
        <x:v>4</x:v>
      </x:c>
      <x:c r="H6" s="62" t="str">
        <x:v>Apple Health and Fitbit</x:v>
      </x:c>
      <x:c r="I6" s="62" t="str">
        <x:v>Freemium subscription</x:v>
      </x:c>
      <x:c r="J6" s="91" t="n">
        <x:f>ROUND(AVERAGE(C6:G6),1)</x:f>
        <x:v>3.4</x:v>
      </x:c>
      <x:c r="K6" s="62" t="str">
        <x:v>Broad customization, correlations, goals, and experiments</x:v>
      </x:c>
      <x:c r="L6" s="62" t="str">
        <x:v>Power can become cognitive burden; correlations are easy to read causally</x:v>
      </x:c>
      <x:c r="M6" s="62" t="str">
        <x:v>Offer progressive disclosure and fewer, safer experiments</x:v>
      </x:c>
      <x:c r="N6" s="62" t="str">
        <x:v>https://bearable.app/</x:v>
      </x:c>
      <x:c r="O6" s="89" t="n">
        <x:v>46254</x:v>
      </x:c>
    </x:row>
    <x:row r="7" ht="72" customHeight="1">
      <x:c r="A7" s="62" t="str">
        <x:v>Curable</x:v>
      </x:c>
      <x:c r="B7" s="62" t="str">
        <x:v>Mind-body pain education and self-guided exercises</x:v>
      </x:c>
      <x:c r="C7" s="85" t="n">
        <x:v>4</x:v>
      </x:c>
      <x:c r="D7" s="85" t="n">
        <x:v>4</x:v>
      </x:c>
      <x:c r="E7" s="85" t="n">
        <x:v>2</x:v>
      </x:c>
      <x:c r="F7" s="85" t="n">
        <x:v>5</x:v>
      </x:c>
      <x:c r="G7" s="85" t="n">
        <x:v>1</x:v>
      </x:c>
      <x:c r="H7" s="62" t="str">
        <x:v>Not central</x:v>
      </x:c>
      <x:c r="I7" s="62" t="str">
        <x:v>Subscription</x:v>
      </x:c>
      <x:c r="J7" s="91" t="n">
        <x:f>ROUND(AVERAGE(C7:G7),1)</x:f>
        <x:v>3.2</x:v>
      </x:c>
      <x:c r="K7" s="62" t="str">
        <x:v>Strong guided content across education, CBT, meditation, writing, and somatic practices</x:v>
      </x:c>
      <x:c r="L7" s="62" t="str">
        <x:v>Narrow causal framing may not fit every pain condition; limited clinical sharing</x:v>
      </x:c>
      <x:c r="M7" s="62" t="str">
        <x:v>Borrow guided practice depth but preserve diagnostic humility and functional outcomes</x:v>
      </x:c>
      <x:c r="N7" s="62" t="str">
        <x:v>https://www.curablehealth.com/</x:v>
      </x:c>
      <x:c r="O7" s="89" t="n">
        <x:v>46254</x:v>
      </x:c>
    </x:row>
    <x:row r="8" ht="72" customHeight="1">
      <x:c r="A8" s="62" t="str">
        <x:v>Flaredown</x:v>
      </x:c>
      <x:c r="B8" s="62" t="str">
        <x:v>Comprehensive chronic-illness symptom, treatment, and trigger tracking</x:v>
      </x:c>
      <x:c r="C8" s="85" t="n">
        <x:v>3</x:v>
      </x:c>
      <x:c r="D8" s="85" t="n">
        <x:v>5</x:v>
      </x:c>
      <x:c r="E8" s="85" t="n">
        <x:v>2</x:v>
      </x:c>
      <x:c r="F8" s="85" t="n">
        <x:v>1</x:v>
      </x:c>
      <x:c r="G8" s="85" t="n">
        <x:v>4</x:v>
      </x:c>
      <x:c r="H8" s="62" t="str">
        <x:v>Weather and activity context</x:v>
      </x:c>
      <x:c r="I8" s="62" t="str">
        <x:v>Free / community-led</x:v>
      </x:c>
      <x:c r="J8" s="91" t="n">
        <x:f>ROUND(AVERAGE(C8:G8),1)</x:f>
        <x:v>3</x:v>
      </x:c>
      <x:c r="K8" s="62" t="str">
        <x:v>Very broad factor library and shareable history</x:v>
      </x:c>
      <x:c r="L8" s="62" t="str">
        <x:v>High logging burden and strong trigger framing; intervention layer is thin</x:v>
      </x:c>
      <x:c r="M8" s="62" t="str">
        <x:v>Avoid becoming an everything tracker; constrain variables around user goals</x:v>
      </x:c>
      <x:c r="N8" s="62" t="str">
        <x:v>https://flaredown.com/</x:v>
      </x:c>
      <x:c r="O8" s="89" t="n">
        <x:v>46254</x:v>
      </x:c>
    </x:row>
    <x:row r="9" ht="72" customHeight="1">
      <x:c r="A9" s="62" t="str">
        <x:v>Pathways</x:v>
      </x:c>
      <x:c r="B9" s="62" t="str">
        <x:v>Structured online pain-management education and practice</x:v>
      </x:c>
      <x:c r="C9" s="85" t="n">
        <x:v>4</x:v>
      </x:c>
      <x:c r="D9" s="85" t="n">
        <x:v>3</x:v>
      </x:c>
      <x:c r="E9" s="85" t="n">
        <x:v>2</x:v>
      </x:c>
      <x:c r="F9" s="85" t="n">
        <x:v>4</x:v>
      </x:c>
      <x:c r="G9" s="85" t="n">
        <x:v>1</x:v>
      </x:c>
      <x:c r="H9" s="62" t="str">
        <x:v>Not central</x:v>
      </x:c>
      <x:c r="I9" s="62" t="str">
        <x:v>Subscription / program</x:v>
      </x:c>
      <x:c r="J9" s="91" t="n">
        <x:f>ROUND(AVERAGE(C9:G9),1)</x:f>
        <x:v>2.8</x:v>
      </x:c>
      <x:c r="K9" s="62" t="str">
        <x:v>Step-by-step blend of pain science, CBT, mindfulness, and exercise</x:v>
      </x:c>
      <x:c r="L9" s="62" t="str">
        <x:v>Outcome evidence is less visible than the therapeutic claims</x:v>
      </x:c>
      <x:c r="M9" s="62" t="str">
        <x:v>Pair every content path with transparent evidence and progress measures</x:v>
      </x:c>
      <x:c r="N9" s="62" t="str">
        <x:v>https://www.pathways.health/</x:v>
      </x:c>
      <x:c r="O9" s="89" t="n">
        <x:v>46254</x:v>
      </x:c>
    </x:row>
    <x:row r="10" ht="72" customHeight="1">
      <x:c r="A10" s="62" t="str">
        <x:v>Stanza</x:v>
      </x:c>
      <x:c r="B10" s="62" t="str">
        <x:v>Prescription 12-week digital ACT treatment for fibromyalgia</x:v>
      </x:c>
      <x:c r="C10" s="85" t="n">
        <x:v>3</x:v>
      </x:c>
      <x:c r="D10" s="85" t="n">
        <x:v>3</x:v>
      </x:c>
      <x:c r="E10" s="85" t="n">
        <x:v>4</x:v>
      </x:c>
      <x:c r="F10" s="85" t="n">
        <x:v>5</x:v>
      </x:c>
      <x:c r="G10" s="85" t="n">
        <x:v>3</x:v>
      </x:c>
      <x:c r="H10" s="62" t="str">
        <x:v>Not central</x:v>
      </x:c>
      <x:c r="I10" s="62" t="str">
        <x:v>Prescription digital therapeutic</x:v>
      </x:c>
      <x:c r="J10" s="91" t="n">
        <x:f>ROUND(AVERAGE(C10:G10),1)</x:f>
        <x:v>3.6</x:v>
      </x:c>
      <x:c r="K10" s="62" t="str">
        <x:v>FDA-cleared, condition-specific, clinically tested ACT program</x:v>
      </x:c>
      <x:c r="L10" s="62" t="str">
        <x:v>High regulatory, clinical, and content-development bar; not a general pain tracker</x:v>
      </x:c>
      <x:c r="M10" s="62" t="str">
        <x:v>Treat as the evidence benchmark for a later therapeutic pathway, not as MVP scope</x:v>
      </x:c>
      <x:c r="N10" s="62" t="str">
        <x:v>https://www.accessdata.fda.gov/cdrh_docs/pdf22/DEN220083.pdf</x:v>
      </x:c>
      <x:c r="O10" s="89" t="n">
        <x:v>46254</x:v>
      </x:c>
    </x:row>
    <x:row r="11" ht="72" customHeight="1">
      <x:c r="A11" s="62" t="str">
        <x:v>VA Pain Coach</x:v>
      </x:c>
      <x:c r="B11" s="62" t="str">
        <x:v>Public-sector pain self-management education and tracking</x:v>
      </x:c>
      <x:c r="C11" s="85" t="n">
        <x:v>4</x:v>
      </x:c>
      <x:c r="D11" s="85" t="n">
        <x:v>3</x:v>
      </x:c>
      <x:c r="E11" s="85" t="n">
        <x:v>3</x:v>
      </x:c>
      <x:c r="F11" s="85" t="n">
        <x:v>4</x:v>
      </x:c>
      <x:c r="G11" s="85" t="n">
        <x:v>3</x:v>
      </x:c>
      <x:c r="H11" s="62" t="str">
        <x:v>Not central</x:v>
      </x:c>
      <x:c r="I11" s="62" t="str">
        <x:v>Free</x:v>
      </x:c>
      <x:c r="J11" s="91" t="n">
        <x:f>ROUND(AVERAGE(C11:G11),1)</x:f>
        <x:v>3.4</x:v>
      </x:c>
      <x:c r="K11" s="62" t="str">
        <x:v>Daily check-ins, progressive activities, journal, and support-network planning</x:v>
      </x:c>
      <x:c r="L11" s="62" t="str">
        <x:v>Less personalized and visually dated compared with modern consumer products</x:v>
      </x:c>
      <x:c r="M11" s="62" t="str">
        <x:v>A useful baseline for breadth, safety, and public-health tone</x:v>
      </x:c>
      <x:c r="N11" s="62" t="str">
        <x:v>https://mobile.va.gov/app/pain-coach</x:v>
      </x:c>
      <x:c r="O11" s="89" t="n">
        <x:v>46254</x:v>
      </x:c>
    </x:row>
    <x:row r="12" ht="72" customHeight="1">
      <x:c r="A12" s="62" t="str">
        <x:v>Lin Health</x:v>
      </x:c>
      <x:c r="B12" s="62" t="str">
        <x:v>Clinician and coach-supported virtual pain program</x:v>
      </x:c>
      <x:c r="C12" s="85" t="n">
        <x:v>3</x:v>
      </x:c>
      <x:c r="D12" s="85" t="n">
        <x:v>5</x:v>
      </x:c>
      <x:c r="E12" s="85" t="n">
        <x:v>4</x:v>
      </x:c>
      <x:c r="F12" s="85" t="n">
        <x:v>5</x:v>
      </x:c>
      <x:c r="G12" s="85" t="n">
        <x:v>5</x:v>
      </x:c>
      <x:c r="H12" s="62" t="str">
        <x:v>Not central</x:v>
      </x:c>
      <x:c r="I12" s="62" t="str">
        <x:v>Care program / payer partnerships</x:v>
      </x:c>
      <x:c r="J12" s="91" t="n">
        <x:f>ROUND(AVERAGE(C12:G12),1)</x:f>
        <x:v>4.4</x:v>
      </x:c>
      <x:c r="K12" s="62" t="str">
        <x:v>Human coaching, medical review, and personalized learning</x:v>
      </x:c>
      <x:c r="L12" s="62" t="str">
        <x:v>Service-heavy economics and geography/payer constraints</x:v>
      </x:c>
      <x:c r="M12" s="62" t="str">
        <x:v>Design Pattern so self-guided work can hand off cleanly to human care</x:v>
      </x:c>
      <x:c r="N12" s="62" t="str">
        <x:v>https://www.lin.health/</x:v>
      </x:c>
      <x:c r="O12" s="89" t="n">
        <x:v>46254</x:v>
      </x:c>
    </x:row>
  </x:sheetData>
  <x:mergeCells>
    <x:mergeCell ref="A1:O1"/>
    <x:mergeCell ref="A2:O2"/>
  </x:mergeCells>
  <x:conditionalFormatting sqref="J5:J12">
    <x:cfRule type="dataBar" priority="1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{ED752712-34E2-97EC-30C1-25647B402030}</x14:id>
        </x:ext>
      </x:extLst>
    </x:cfRule>
  </x:conditionalFormatting>
  <x:dataValidations count="1">
    <x:dataValidation type="whole" operator="between" sqref="C5:G12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27630d2cf3c46e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D752712-34E2-97EC-30C1-25647B402030}">
            <x14:dataBar gradient="1">
              <x14:cfvo type="min"/>
              <x14:cfvo type="max"/>
              <x14:fillColor rgb="FF2F6BFF"/>
            </x14:dataBar>
          </x14:cfRule>
          <xm:sqref>J5:J12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43" hidden="0" customWidth="1"/>
    <x:col min="4" max="4" width="55" hidden="0" customWidth="1"/>
    <x:col min="5" max="5" width="22" hidden="0" customWidth="1"/>
    <x:col min="6" max="6" width="20" hidden="0" customWidth="1"/>
    <x:col min="7" max="7" width="12" hidden="0" customWidth="1"/>
    <x:col min="8" max="8" width="55" hidden="0" customWidth="1"/>
    <x:col min="9" max="9" width="13" hidden="0" customWidth="1"/>
  </x:cols>
  <x:sheetData>
    <x:row r="1" ht="34" customHeight="1">
      <x:c r="A1" s="3" t="str">
        <x:v>Academic journals to follow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Prioritized for pain science, behavioral treatment, measurement, digital health, wearables, and product evaluation. Impact factors are intentionally omitted because they change and can distort relevance.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3" t="str">
        <x:v>Journal</x:v>
      </x:c>
      <x:c r="B4" s="28" t="str">
        <x:v>Publisher / society</x:v>
      </x:c>
      <x:c r="C4" s="28" t="str">
        <x:v>Scope</x:v>
      </x:c>
      <x:c r="D4" s="28" t="str">
        <x:v>Why Pattern should follow</x:v>
      </x:c>
      <x:c r="E4" s="28" t="str">
        <x:v>Access</x:v>
      </x:c>
      <x:c r="F4" s="28" t="str">
        <x:v>Suggested cadence</x:v>
      </x:c>
      <x:c r="G4" s="28" t="str">
        <x:v>Priority</x:v>
      </x:c>
      <x:c r="H4" s="28" t="str">
        <x:v>Journal URL</x:v>
      </x:c>
      <x:c r="I4" s="14" t="str">
        <x:v>Last checked</x:v>
      </x:c>
    </x:row>
    <x:row r="5" ht="62" customHeight="1">
      <x:c r="A5" s="58" t="str">
        <x:v>PAIN</x:v>
      </x:c>
      <x:c r="B5" s="58" t="str">
        <x:v>IASP / Wolters Kluwer</x:v>
      </x:c>
      <x:c r="C5" s="58" t="str">
        <x:v>Pain mechanisms, assessment, trials, and treatment</x:v>
      </x:c>
      <x:c r="D5" s="58" t="str">
        <x:v>Highest-priority general pain journal; useful for measurement standards and treatment evidence</x:v>
      </x:c>
      <x:c r="E5" s="58" t="str">
        <x:v>Hybrid / subscription</x:v>
      </x:c>
      <x:c r="F5" s="58" t="str">
        <x:v>Monthly scan</x:v>
      </x:c>
      <x:c r="G5" s="96" t="n">
        <x:v>5</x:v>
      </x:c>
      <x:c r="H5" s="58" t="str">
        <x:v>https://journals.lww.com/pain/pages/default.aspx</x:v>
      </x:c>
      <x:c r="I5" s="88" t="n">
        <x:v>46254</x:v>
      </x:c>
    </x:row>
    <x:row r="6" ht="62" customHeight="1">
      <x:c r="A6" s="62" t="str">
        <x:v>The Journal of Pain</x:v>
      </x:c>
      <x:c r="B6" s="62" t="str">
        <x:v>United States Association for the Study of Pain / Elsevier</x:v>
      </x:c>
      <x:c r="C6" s="62" t="str">
        <x:v>Clinical, behavioral, and translational pain research</x:v>
      </x:c>
      <x:c r="D6" s="62" t="str">
        <x:v>Strong fit for psychologically informed care, outcomes, and digital interventions</x:v>
      </x:c>
      <x:c r="E6" s="62" t="str">
        <x:v>Hybrid</x:v>
      </x:c>
      <x:c r="F6" s="62" t="str">
        <x:v>Monthly scan</x:v>
      </x:c>
      <x:c r="G6" s="97" t="n">
        <x:v>5</x:v>
      </x:c>
      <x:c r="H6" s="62" t="str">
        <x:v>https://www.jpain.org/</x:v>
      </x:c>
      <x:c r="I6" s="89" t="n">
        <x:v>46254</x:v>
      </x:c>
    </x:row>
    <x:row r="7" ht="62" customHeight="1">
      <x:c r="A7" s="62" t="str">
        <x:v>PAIN Reports</x:v>
      </x:c>
      <x:c r="B7" s="62" t="str">
        <x:v>IASP / Wolters Kluwer</x:v>
      </x:c>
      <x:c r="C7" s="62" t="str">
        <x:v>Open-access pain research, methods, and early studies</x:v>
      </x:c>
      <x:c r="D7" s="62" t="str">
        <x:v>Good source for accessible pilot work and newer digital-health studies</x:v>
      </x:c>
      <x:c r="E7" s="62" t="str">
        <x:v>Open access</x:v>
      </x:c>
      <x:c r="F7" s="62" t="str">
        <x:v>Monthly scan</x:v>
      </x:c>
      <x:c r="G7" s="97" t="n">
        <x:v>5</x:v>
      </x:c>
      <x:c r="H7" s="62" t="str">
        <x:v>https://journals.lww.com/painrpts/pages/default.aspx</x:v>
      </x:c>
      <x:c r="I7" s="89" t="n">
        <x:v>46254</x:v>
      </x:c>
    </x:row>
    <x:row r="8" ht="62" customHeight="1">
      <x:c r="A8" s="62" t="str">
        <x:v>European Journal of Pain</x:v>
      </x:c>
      <x:c r="B8" s="62" t="str">
        <x:v>European Pain Federation / Wiley</x:v>
      </x:c>
      <x:c r="C8" s="62" t="str">
        <x:v>Multidisciplinary basic and clinical pain research</x:v>
      </x:c>
      <x:c r="D8" s="62" t="str">
        <x:v>Broad biopsychosocial and rehabilitation coverage</x:v>
      </x:c>
      <x:c r="E8" s="62" t="str">
        <x:v>Hybrid</x:v>
      </x:c>
      <x:c r="F8" s="62" t="str">
        <x:v>Monthly scan</x:v>
      </x:c>
      <x:c r="G8" s="97" t="n">
        <x:v>4</x:v>
      </x:c>
      <x:c r="H8" s="62" t="str">
        <x:v>https://onlinelibrary.wiley.com/journal/15322149</x:v>
      </x:c>
      <x:c r="I8" s="89" t="n">
        <x:v>46254</x:v>
      </x:c>
    </x:row>
    <x:row r="9" ht="62" customHeight="1">
      <x:c r="A9" s="62" t="str">
        <x:v>Pain Medicine</x:v>
      </x:c>
      <x:c r="B9" s="62" t="str">
        <x:v>American Academy of Pain Medicine / Oxford University Press</x:v>
      </x:c>
      <x:c r="C9" s="62" t="str">
        <x:v>Clinical pain practice, policy, education, and research</x:v>
      </x:c>
      <x:c r="D9" s="62" t="str">
        <x:v>Useful for clinical implementation and care pathways</x:v>
      </x:c>
      <x:c r="E9" s="62" t="str">
        <x:v>Hybrid</x:v>
      </x:c>
      <x:c r="F9" s="62" t="str">
        <x:v>Monthly scan</x:v>
      </x:c>
      <x:c r="G9" s="97" t="n">
        <x:v>4</x:v>
      </x:c>
      <x:c r="H9" s="62" t="str">
        <x:v>https://academic.oup.com/painmedicine</x:v>
      </x:c>
      <x:c r="I9" s="89" t="n">
        <x:v>46254</x:v>
      </x:c>
    </x:row>
    <x:row r="10" ht="62" customHeight="1">
      <x:c r="A10" s="62" t="str">
        <x:v>Clinical Journal of Pain</x:v>
      </x:c>
      <x:c r="B10" s="62" t="str">
        <x:v>Wolters Kluwer</x:v>
      </x:c>
      <x:c r="C10" s="62" t="str">
        <x:v>Clinical pain assessment and treatment</x:v>
      </x:c>
      <x:c r="D10" s="62" t="str">
        <x:v>Useful for outcomes, rehabilitation, and pragmatic clinical studies</x:v>
      </x:c>
      <x:c r="E10" s="62" t="str">
        <x:v>Hybrid / subscription</x:v>
      </x:c>
      <x:c r="F10" s="62" t="str">
        <x:v>Monthly scan</x:v>
      </x:c>
      <x:c r="G10" s="97" t="n">
        <x:v>4</x:v>
      </x:c>
      <x:c r="H10" s="62" t="str">
        <x:v>https://journals.lww.com/clinicalpain/pages/default.aspx</x:v>
      </x:c>
      <x:c r="I10" s="89" t="n">
        <x:v>46254</x:v>
      </x:c>
    </x:row>
    <x:row r="11" ht="62" customHeight="1">
      <x:c r="A11" s="62" t="str">
        <x:v>Journal of Medical Internet Research</x:v>
      </x:c>
      <x:c r="B11" s="62" t="str">
        <x:v>JMIR Publications</x:v>
      </x:c>
      <x:c r="C11" s="62" t="str">
        <x:v>Digital health evaluation, implementation, and behavior change</x:v>
      </x:c>
      <x:c r="D11" s="62" t="str">
        <x:v>Best broad digital-health source for engagement, safety, and evaluation methods</x:v>
      </x:c>
      <x:c r="E11" s="62" t="str">
        <x:v>Open access</x:v>
      </x:c>
      <x:c r="F11" s="62" t="str">
        <x:v>Monthly scan</x:v>
      </x:c>
      <x:c r="G11" s="97" t="n">
        <x:v>5</x:v>
      </x:c>
      <x:c r="H11" s="62" t="str">
        <x:v>https://www.jmir.org/</x:v>
      </x:c>
      <x:c r="I11" s="89" t="n">
        <x:v>46254</x:v>
      </x:c>
    </x:row>
    <x:row r="12" ht="62" customHeight="1">
      <x:c r="A12" s="62" t="str">
        <x:v>JMIR mHealth and uHealth</x:v>
      </x:c>
      <x:c r="B12" s="62" t="str">
        <x:v>JMIR Publications</x:v>
      </x:c>
      <x:c r="C12" s="62" t="str">
        <x:v>Mobile health, wearables, apps, and remote interventions</x:v>
      </x:c>
      <x:c r="D12" s="62" t="str">
        <x:v>Directly relevant to app design, sensors, adherence, and digital trials</x:v>
      </x:c>
      <x:c r="E12" s="62" t="str">
        <x:v>Open access</x:v>
      </x:c>
      <x:c r="F12" s="62" t="str">
        <x:v>Monthly scan</x:v>
      </x:c>
      <x:c r="G12" s="97" t="n">
        <x:v>5</x:v>
      </x:c>
      <x:c r="H12" s="62" t="str">
        <x:v>https://mhealth.jmir.org/</x:v>
      </x:c>
      <x:c r="I12" s="89" t="n">
        <x:v>46254</x:v>
      </x:c>
    </x:row>
    <x:row r="13" ht="62" customHeight="1">
      <x:c r="A13" s="62" t="str">
        <x:v>npj Digital Medicine</x:v>
      </x:c>
      <x:c r="B13" s="62" t="str">
        <x:v>Nature Portfolio</x:v>
      </x:c>
      <x:c r="C13" s="62" t="str">
        <x:v>Clinical validation and implementation of digital medicine</x:v>
      </x:c>
      <x:c r="D13" s="62" t="str">
        <x:v>High-value source for digital biomarkers, product evaluation, and regulatory-grade evidence</x:v>
      </x:c>
      <x:c r="E13" s="62" t="str">
        <x:v>Open access</x:v>
      </x:c>
      <x:c r="F13" s="62" t="str">
        <x:v>Monthly scan</x:v>
      </x:c>
      <x:c r="G13" s="97" t="n">
        <x:v>5</x:v>
      </x:c>
      <x:c r="H13" s="62" t="str">
        <x:v>https://www.nature.com/npjdigitalmed/</x:v>
      </x:c>
      <x:c r="I13" s="89" t="n">
        <x:v>46254</x:v>
      </x:c>
    </x:row>
    <x:row r="14" ht="62" customHeight="1">
      <x:c r="A14" s="62" t="str">
        <x:v>Journal of Behavioral Medicine</x:v>
      </x:c>
      <x:c r="B14" s="62" t="str">
        <x:v>Springer Nature</x:v>
      </x:c>
      <x:c r="C14" s="62" t="str">
        <x:v>Behavioral, psychological, and social dimensions of health</x:v>
      </x:c>
      <x:c r="D14" s="62" t="str">
        <x:v>Useful for ACT, CBT, adherence, self-management, and measurement</x:v>
      </x:c>
      <x:c r="E14" s="62" t="str">
        <x:v>Hybrid</x:v>
      </x:c>
      <x:c r="F14" s="62" t="str">
        <x:v>Quarterly scan</x:v>
      </x:c>
      <x:c r="G14" s="97" t="n">
        <x:v>4</x:v>
      </x:c>
      <x:c r="H14" s="62" t="str">
        <x:v>https://link.springer.com/journal/10865</x:v>
      </x:c>
      <x:c r="I14" s="89" t="n">
        <x:v>46254</x:v>
      </x:c>
    </x:row>
    <x:row r="15" ht="62" customHeight="1">
      <x:c r="A15" s="62" t="str">
        <x:v>BMC Musculoskeletal Disorders</x:v>
      </x:c>
      <x:c r="B15" s="62" t="str">
        <x:v>BMC / Springer Nature</x:v>
      </x:c>
      <x:c r="C15" s="62" t="str">
        <x:v>Musculoskeletal conditions, rehabilitation, and outcomes</x:v>
      </x:c>
      <x:c r="D15" s="62" t="str">
        <x:v>High volume source for exercise, education, and condition-specific evidence</x:v>
      </x:c>
      <x:c r="E15" s="62" t="str">
        <x:v>Open access</x:v>
      </x:c>
      <x:c r="F15" s="62" t="str">
        <x:v>Quarterly scan</x:v>
      </x:c>
      <x:c r="G15" s="97" t="n">
        <x:v>3</x:v>
      </x:c>
      <x:c r="H15" s="62" t="str">
        <x:v>https://bmcmusculoskeletdisord.biomedcentral.com/</x:v>
      </x:c>
      <x:c r="I15" s="89" t="n">
        <x:v>46254</x:v>
      </x:c>
    </x:row>
  </x:sheetData>
  <x:mergeCells>
    <x:mergeCell ref="A1:I1"/>
    <x:mergeCell ref="A2:I2"/>
  </x:mergeCells>
  <x:conditionalFormatting sqref="G5:G15">
    <x:cfRule type="iconSet" priority="1">
      <x:iconSet iconSet="5Rating" showValue="1">
        <x:cfvo type="percent" val="0"/>
        <x:cfvo type="percent" val="20"/>
        <x:cfvo type="percent" val="40"/>
        <x:cfvo type="percent" val="60"/>
        <x:cfvo type="percent" val="80"/>
      </x:iconSet>
    </x:cfRule>
  </x:conditionalFormatting>
  <x:dataValidations count="1">
    <x:dataValidation type="whole" operator="between" sqref="G5:G1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3461aca51c24251"/>
  </x:tableParts>
</x:worksheet>
</file>